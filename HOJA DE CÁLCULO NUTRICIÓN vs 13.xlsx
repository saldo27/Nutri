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workbookProtection workbookPassword="D257" lockStructure="1"/>
  <bookViews>
    <workbookView xWindow="-120" yWindow="-120" windowWidth="20736" windowHeight="11040" firstSheet="1" activeTab="3"/>
  </bookViews>
  <sheets>
    <sheet name="PAUTA DE TOLERANCIA" sheetId="1" r:id="rId1"/>
    <sheet name="RITMO N. ENTERAL " sheetId="2" r:id="rId2"/>
    <sheet name="FÓRMULA N. ENTERAL" sheetId="3" r:id="rId3"/>
    <sheet name="FORMULACIÓN NPT" sheetId="4" r:id="rId4"/>
    <sheet name="ANEXO-DIETAS ENTERALES" sheetId="5" r:id="rId5"/>
  </sheets>
  <calcPr calcId="145621"/>
  <customWorkbookViews>
    <customWorkbookView name="lhp53r - Vista personalizada" guid="{48944D96-E1C6-470F-BC09-CAA8ED824015}" mergeInterval="0" personalView="1" maximized="1" windowWidth="1916" windowHeight="755" activeSheetId="4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3" l="1"/>
  <c r="N14" i="3"/>
  <c r="K14" i="3"/>
  <c r="J14" i="3"/>
  <c r="F14" i="3"/>
  <c r="R14" i="3"/>
  <c r="Q14" i="3"/>
  <c r="P14" i="3"/>
  <c r="M14" i="3"/>
  <c r="L14" i="3"/>
  <c r="I14" i="3" l="1"/>
  <c r="H14" i="3"/>
  <c r="G14" i="3"/>
  <c r="D14" i="3"/>
  <c r="E14" i="3"/>
  <c r="C14" i="3"/>
  <c r="F7" i="2" l="1"/>
  <c r="F7" i="1"/>
  <c r="G8" i="1" s="1"/>
  <c r="F6" i="3" l="1"/>
  <c r="E10" i="4"/>
  <c r="F7" i="4"/>
  <c r="V14" i="3" l="1"/>
  <c r="T14" i="3" l="1"/>
  <c r="F9" i="2" l="1"/>
  <c r="U14" i="3"/>
  <c r="S14" i="3"/>
  <c r="B14" i="4" l="1"/>
  <c r="E9" i="4"/>
  <c r="H7" i="4" s="1"/>
  <c r="F6" i="4"/>
  <c r="C7" i="4" s="1"/>
  <c r="F5" i="4"/>
  <c r="B4" i="4"/>
  <c r="C4" i="4" s="1"/>
  <c r="D4" i="4" s="1"/>
  <c r="I3" i="4" s="1"/>
  <c r="A4" i="4"/>
  <c r="G3" i="4" s="1"/>
  <c r="B13" i="3"/>
  <c r="E9" i="3"/>
  <c r="K7" i="4" l="1"/>
  <c r="C13" i="4" s="1"/>
  <c r="E14" i="4" s="1"/>
  <c r="H12" i="4" s="1"/>
  <c r="J13" i="4" s="1"/>
  <c r="I6" i="4"/>
  <c r="F12" i="4" s="1"/>
  <c r="G8" i="4"/>
  <c r="E4" i="4"/>
  <c r="F4" i="4" s="1"/>
  <c r="L3" i="4" s="1"/>
  <c r="E8" i="3"/>
  <c r="H6" i="3" s="1"/>
  <c r="F5" i="3"/>
  <c r="F4" i="3"/>
  <c r="B3" i="3"/>
  <c r="C3" i="3" s="1"/>
  <c r="D3" i="3" s="1"/>
  <c r="I2" i="3" s="1"/>
  <c r="E3" i="3" s="1"/>
  <c r="F3" i="3" s="1"/>
  <c r="L2" i="3" s="1"/>
  <c r="A3" i="3"/>
  <c r="G2" i="3" s="1"/>
  <c r="K8" i="4" l="1"/>
  <c r="I10" i="4"/>
  <c r="G13" i="4"/>
  <c r="H14" i="4" s="1"/>
  <c r="J12" i="4" s="1"/>
  <c r="M13" i="4" s="1"/>
  <c r="J14" i="4" s="1"/>
  <c r="I5" i="3"/>
  <c r="F11" i="3" s="1"/>
  <c r="G7" i="3"/>
  <c r="C6" i="3"/>
  <c r="K6" i="3" s="1"/>
  <c r="J15" i="4" l="1"/>
  <c r="J16" i="4" s="1"/>
  <c r="K7" i="3"/>
  <c r="C12" i="3"/>
  <c r="E13" i="3" s="1"/>
  <c r="H11" i="3" s="1"/>
  <c r="I8" i="3"/>
  <c r="F4" i="1"/>
  <c r="F5" i="1" s="1"/>
  <c r="G6" i="1" s="1"/>
  <c r="A9" i="1" s="1"/>
  <c r="G12" i="3" l="1"/>
  <c r="H13" i="3" s="1"/>
  <c r="J11" i="3" s="1"/>
  <c r="I10" i="3"/>
  <c r="L11" i="3"/>
  <c r="F26" i="3" l="1"/>
  <c r="N26" i="3"/>
  <c r="J26" i="3"/>
  <c r="O26" i="3"/>
  <c r="K26" i="3"/>
  <c r="H26" i="3"/>
  <c r="C26" i="3"/>
  <c r="R26" i="3"/>
  <c r="R27" i="3" s="1"/>
  <c r="Q26" i="3"/>
  <c r="Q27" i="3" s="1"/>
  <c r="P26" i="3"/>
  <c r="P27" i="3" s="1"/>
  <c r="M26" i="3"/>
  <c r="M27" i="3" s="1"/>
  <c r="E26" i="3"/>
  <c r="L26" i="3"/>
  <c r="L27" i="3" s="1"/>
  <c r="I26" i="3"/>
  <c r="I27" i="3" s="1"/>
  <c r="G26" i="3"/>
  <c r="G27" i="3" s="1"/>
  <c r="D26" i="3"/>
  <c r="D27" i="3" s="1"/>
  <c r="K28" i="3" l="1"/>
  <c r="K27" i="3"/>
  <c r="K25" i="3" s="1"/>
  <c r="K30" i="3" s="1"/>
  <c r="O28" i="3"/>
  <c r="O27" i="3"/>
  <c r="O25" i="3" s="1"/>
  <c r="O30" i="3" s="1"/>
  <c r="J28" i="3"/>
  <c r="J27" i="3"/>
  <c r="J25" i="3" s="1"/>
  <c r="J30" i="3" s="1"/>
  <c r="N28" i="3"/>
  <c r="N27" i="3"/>
  <c r="N25" i="3" s="1"/>
  <c r="N30" i="3" s="1"/>
  <c r="F28" i="3"/>
  <c r="F27" i="3"/>
  <c r="F25" i="3" s="1"/>
  <c r="F30" i="3" s="1"/>
  <c r="H28" i="3"/>
  <c r="H27" i="3"/>
  <c r="H25" i="3" s="1"/>
  <c r="H30" i="3" s="1"/>
  <c r="E27" i="3"/>
  <c r="E28" i="3"/>
  <c r="C28" i="3"/>
  <c r="C27" i="3"/>
  <c r="C25" i="3" s="1"/>
  <c r="C30" i="3" s="1"/>
  <c r="R28" i="3"/>
  <c r="R25" i="3"/>
  <c r="R30" i="3" s="1"/>
  <c r="Q28" i="3"/>
  <c r="Q25" i="3"/>
  <c r="Q30" i="3" s="1"/>
  <c r="P28" i="3"/>
  <c r="P25" i="3"/>
  <c r="P30" i="3" s="1"/>
  <c r="D28" i="3"/>
  <c r="D25" i="3"/>
  <c r="D30" i="3" s="1"/>
  <c r="G28" i="3"/>
  <c r="G25" i="3"/>
  <c r="G30" i="3" s="1"/>
  <c r="L28" i="3"/>
  <c r="L25" i="3"/>
  <c r="L30" i="3" s="1"/>
  <c r="E25" i="3"/>
  <c r="E30" i="3" s="1"/>
  <c r="M28" i="3"/>
  <c r="M25" i="3"/>
  <c r="M30" i="3" s="1"/>
  <c r="I28" i="3"/>
  <c r="I25" i="3"/>
  <c r="I30" i="3" s="1"/>
  <c r="B9" i="1"/>
  <c r="F10" i="1" s="1"/>
</calcChain>
</file>

<file path=xl/sharedStrings.xml><?xml version="1.0" encoding="utf-8"?>
<sst xmlns="http://schemas.openxmlformats.org/spreadsheetml/2006/main" count="242" uniqueCount="189">
  <si>
    <t>←</t>
  </si>
  <si>
    <t>% de N. Enteral en primeras 24h</t>
  </si>
  <si>
    <t>%</t>
  </si>
  <si>
    <t>Kcal/día</t>
  </si>
  <si>
    <t>gr proteínas/día</t>
  </si>
  <si>
    <t>gr N2/día</t>
  </si>
  <si>
    <t>Kcal de las proteínas</t>
  </si>
  <si>
    <t xml:space="preserve">         kcal de propofol</t>
  </si>
  <si>
    <t>1-NO; 2-SÍ</t>
  </si>
  <si>
    <t>factor citrato</t>
  </si>
  <si>
    <t>kcal citrato</t>
  </si>
  <si>
    <t>Peso elegido para calcular objetivos nutricionales</t>
  </si>
  <si>
    <t xml:space="preserve">        kcal no prot brutas</t>
  </si>
  <si>
    <t>kcal no prot sin propofol y sin citrato</t>
  </si>
  <si>
    <t>kcal propofol + citrato</t>
  </si>
  <si>
    <t>gr de N2</t>
  </si>
  <si>
    <t>: % Lípidos</t>
  </si>
  <si>
    <t>gr de HC</t>
  </si>
  <si>
    <t>COMPOSICIÓN TEÓRICA DE LA NUTRICIÓN ENTERAL PARA 24H</t>
  </si>
  <si>
    <t>gr de Lípidos</t>
  </si>
  <si>
    <t xml:space="preserve">Kcal teóricas de los HC </t>
  </si>
  <si>
    <t>factor HC</t>
  </si>
  <si>
    <t xml:space="preserve">                   Kcal teóricas de los lípidos</t>
  </si>
  <si>
    <t>Kcal de HC sin citrato</t>
  </si>
  <si>
    <t>Kcal lípidos sin propofol</t>
  </si>
  <si>
    <r>
      <t xml:space="preserve">   </t>
    </r>
    <r>
      <rPr>
        <b/>
        <sz val="11"/>
        <color theme="1"/>
        <rFont val="Calibri"/>
        <family val="2"/>
        <scheme val="minor"/>
      </rPr>
      <t>Peso del paciente (Kg)</t>
    </r>
  </si>
  <si>
    <r>
      <t xml:space="preserve">   </t>
    </r>
    <r>
      <rPr>
        <b/>
        <sz val="11"/>
        <color theme="1"/>
        <rFont val="Calibri"/>
        <family val="2"/>
        <scheme val="minor"/>
      </rPr>
      <t>Altura (m)</t>
    </r>
  </si>
  <si>
    <r>
      <t xml:space="preserve">            </t>
    </r>
    <r>
      <rPr>
        <b/>
        <sz val="11"/>
        <color theme="1"/>
        <rFont val="Calibri"/>
        <family val="2"/>
        <scheme val="minor"/>
      </rPr>
      <t xml:space="preserve">  IMC</t>
    </r>
  </si>
  <si>
    <r>
      <t xml:space="preserve">  </t>
    </r>
    <r>
      <rPr>
        <b/>
        <sz val="11"/>
        <color theme="1"/>
        <rFont val="Calibri"/>
        <family val="2"/>
        <scheme val="minor"/>
      </rPr>
      <t>Peso ideal</t>
    </r>
  </si>
  <si>
    <r>
      <t xml:space="preserve">                   </t>
    </r>
    <r>
      <rPr>
        <b/>
        <sz val="11"/>
        <color theme="1"/>
        <rFont val="Calibri"/>
        <family val="2"/>
        <scheme val="minor"/>
      </rPr>
      <t>Peso ajustado</t>
    </r>
  </si>
  <si>
    <r>
      <t xml:space="preserve">                              </t>
    </r>
    <r>
      <rPr>
        <b/>
        <sz val="11"/>
        <color theme="1"/>
        <rFont val="Calibri"/>
        <family val="2"/>
        <scheme val="minor"/>
      </rPr>
      <t>Objetivo Kcal/kg/día</t>
    </r>
  </si>
  <si>
    <r>
      <t xml:space="preserve">               </t>
    </r>
    <r>
      <rPr>
        <b/>
        <sz val="11"/>
        <color theme="1"/>
        <rFont val="Calibri"/>
        <family val="2"/>
        <scheme val="minor"/>
      </rPr>
      <t>Objetivo gr proteínas/kg/día</t>
    </r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</si>
  <si>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 Propofol</t>
    </r>
  </si>
  <si>
    <t xml:space="preserve">       Citrato </t>
  </si>
  <si>
    <r>
      <t xml:space="preserve">           </t>
    </r>
    <r>
      <rPr>
        <b/>
        <sz val="11"/>
        <color theme="1"/>
        <rFont val="Calibri"/>
        <family val="2"/>
        <scheme val="minor"/>
      </rPr>
      <t>Relación          % HC</t>
    </r>
  </si>
  <si>
    <t>COMPOSICIÓN INDIVIDUALIZADA DE LA NPT PARA 24H</t>
  </si>
  <si>
    <t>FORMULACIÓN INDIVIDUALIZADA DE LA NUTRICIÓN PARENTERAL</t>
  </si>
  <si>
    <t>Nombre</t>
  </si>
  <si>
    <t>(sin incluir kcal del propofol y/o citrato)</t>
  </si>
  <si>
    <t xml:space="preserve">        </t>
  </si>
  <si>
    <t>kcal NoProteicas/grN2</t>
  </si>
  <si>
    <t>Kcal/ml</t>
  </si>
  <si>
    <t>gr de proteínas</t>
  </si>
  <si>
    <t>Volumen</t>
  </si>
  <si>
    <t>Pauta calculada</t>
  </si>
  <si>
    <t>grN2/ ml de nutrición</t>
  </si>
  <si>
    <t>gr N2 en 24h</t>
  </si>
  <si>
    <t>kcal en 24h</t>
  </si>
  <si>
    <t>kcal totales</t>
  </si>
  <si>
    <t>Volumen (ml) para 24h</t>
  </si>
  <si>
    <t>Diaba HP</t>
  </si>
  <si>
    <t>Impact</t>
  </si>
  <si>
    <t>Enteral</t>
  </si>
  <si>
    <t>Tdiet HP</t>
  </si>
  <si>
    <t>Isosource</t>
  </si>
  <si>
    <t>Novasource</t>
  </si>
  <si>
    <t>GI Protein</t>
  </si>
  <si>
    <t>Fresubin 2</t>
  </si>
  <si>
    <t>HP Fibra</t>
  </si>
  <si>
    <t>Nutrison</t>
  </si>
  <si>
    <t>Multifibre</t>
  </si>
  <si>
    <t>NUTRICIÓN ENTERAL SEGÚN REQUERIMIENTOS NUTRICIONALES DEL PACIENTE</t>
  </si>
  <si>
    <t>Propofol</t>
  </si>
  <si>
    <t xml:space="preserve">Citrato </t>
  </si>
  <si>
    <t>Relación</t>
  </si>
  <si>
    <t>Kcal NO Proteicas/grN2</t>
  </si>
  <si>
    <r>
      <t xml:space="preserve">  </t>
    </r>
    <r>
      <rPr>
        <b/>
        <sz val="11"/>
        <color theme="1"/>
        <rFont val="Calibri"/>
        <family val="2"/>
        <scheme val="minor"/>
      </rPr>
      <t xml:space="preserve"> Peso del paciente (Kg)</t>
    </r>
  </si>
  <si>
    <r>
      <t xml:space="preserve">              </t>
    </r>
    <r>
      <rPr>
        <b/>
        <sz val="11"/>
        <color theme="1"/>
        <rFont val="Calibri"/>
        <family val="2"/>
        <scheme val="minor"/>
      </rPr>
      <t>IMC</t>
    </r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</si>
  <si>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                             Objetivo Kcal/kg/día</t>
    </r>
  </si>
  <si>
    <r>
      <rPr>
        <b/>
        <sz val="11"/>
        <color theme="1"/>
        <rFont val="Calibri"/>
        <family val="2"/>
        <scheme val="minor"/>
      </rPr>
      <t>ml/día aprox</t>
    </r>
    <r>
      <rPr>
        <sz val="11"/>
        <color theme="1"/>
        <rFont val="Calibri"/>
        <family val="2"/>
        <scheme val="minor"/>
      </rPr>
      <t>.</t>
    </r>
  </si>
  <si>
    <t>Atempero</t>
  </si>
  <si>
    <t>Nº sobres de RENAPRO</t>
  </si>
  <si>
    <t>Diabet</t>
  </si>
  <si>
    <t>Peptamen</t>
  </si>
  <si>
    <t>AF Enteral</t>
  </si>
  <si>
    <t>Fase Aguda</t>
  </si>
  <si>
    <t>Fase crónica</t>
  </si>
  <si>
    <t>Kcal en NPT de HC</t>
  </si>
  <si>
    <t>Kcal en NPT de lípidos</t>
  </si>
  <si>
    <t>Kcal no proteicas en NPT</t>
  </si>
  <si>
    <t>Suplemento de proteínas</t>
  </si>
  <si>
    <t>Total Kcal/día</t>
  </si>
  <si>
    <r>
      <t xml:space="preserve">         </t>
    </r>
    <r>
      <rPr>
        <b/>
        <sz val="11"/>
        <rFont val="Calibri"/>
        <family val="2"/>
        <scheme val="minor"/>
      </rPr>
      <t>Relación Kcal NO Proteicas/gr N2</t>
    </r>
  </si>
  <si>
    <t>Relac. Kcal NO Prot/grN2</t>
  </si>
  <si>
    <t xml:space="preserve">      Sin incluir propofol y/o citrato</t>
  </si>
  <si>
    <r>
      <t>(</t>
    </r>
    <r>
      <rPr>
        <b/>
        <sz val="11"/>
        <color theme="1"/>
        <rFont val="Calibri"/>
        <family val="2"/>
        <scheme val="minor"/>
      </rPr>
      <t>Descontando las Kcal de propofol y/o citrato</t>
    </r>
    <r>
      <rPr>
        <sz val="11"/>
        <color theme="1"/>
        <rFont val="Calibri"/>
        <family val="2"/>
        <scheme val="minor"/>
      </rPr>
      <t>)</t>
    </r>
  </si>
  <si>
    <t>Ritmo (ml/h) N. Enteral si Débito c/24 horas</t>
  </si>
  <si>
    <t>Volumen (ml) de N. Enteral pautado para 24h</t>
  </si>
  <si>
    <t>Nutrición restante para cumplir objetivo</t>
  </si>
  <si>
    <t>INICIO Y PROGRESIÓN N. ENTERAL: PAUTA DE TOLERANCIA</t>
  </si>
  <si>
    <t xml:space="preserve">Volumen (ml) de N. Enteral pautado para 24 horas </t>
  </si>
  <si>
    <t>Kcal hde HC sin citrato</t>
  </si>
  <si>
    <t>gr de Fibra</t>
  </si>
  <si>
    <t>Osmolaridad (mOs/l)</t>
  </si>
  <si>
    <t xml:space="preserve">Ritmo (ml/h) en 12 horas hasta 1º control débito </t>
  </si>
  <si>
    <t>Ritmo (ml/) siguientes 12h hasta 2º control débito</t>
  </si>
  <si>
    <t>Ritmo (ml/h) N. Enteral si Débito c/12 horas</t>
  </si>
  <si>
    <t>(tras completar Pauta de Tolerancia en primeras 24h)</t>
  </si>
  <si>
    <t xml:space="preserve">RITMO DE NUTRICIÓN ENTERAL </t>
  </si>
  <si>
    <t>ml/h</t>
  </si>
  <si>
    <t xml:space="preserve">Nutrison </t>
  </si>
  <si>
    <t>Advanced</t>
  </si>
  <si>
    <t>DIASON ENERGY</t>
  </si>
  <si>
    <t>DIETAS ENTERALES DISPONIBLES EN FARMACIA</t>
  </si>
  <si>
    <t>1. POLIMÉRICAS</t>
  </si>
  <si>
    <t>SIN FIBRA:</t>
  </si>
  <si>
    <t>Isosource estándar 500 ml (sabor frutas)</t>
  </si>
  <si>
    <t>CON FIBRA:</t>
  </si>
  <si>
    <t>Novasource GI Protein 500 ml (vainilla)</t>
  </si>
  <si>
    <t>Nutrison Multifibre 500 ml</t>
  </si>
  <si>
    <t>Fresubin HP 2.0 Fibre 500 ml</t>
  </si>
  <si>
    <t>2. OLIGOMÉRICAS</t>
  </si>
  <si>
    <t>Peptamen AF 500 ml</t>
  </si>
  <si>
    <r>
      <t xml:space="preserve">a) </t>
    </r>
    <r>
      <rPr>
        <u/>
        <sz val="11"/>
        <color theme="1"/>
        <rFont val="Calibri"/>
        <family val="2"/>
        <scheme val="minor"/>
      </rPr>
      <t>Normoproteicas</t>
    </r>
    <r>
      <rPr>
        <sz val="11"/>
        <color theme="1"/>
        <rFont val="Calibri"/>
        <family val="2"/>
        <scheme val="minor"/>
      </rPr>
      <t>:</t>
    </r>
  </si>
  <si>
    <r>
      <t xml:space="preserve">b) </t>
    </r>
    <r>
      <rPr>
        <u/>
        <sz val="11"/>
        <color theme="1"/>
        <rFont val="Calibri"/>
        <family val="2"/>
        <scheme val="minor"/>
      </rPr>
      <t>Hiperproteicas</t>
    </r>
    <r>
      <rPr>
        <sz val="11"/>
        <color theme="1"/>
        <rFont val="Calibri"/>
        <family val="2"/>
        <scheme val="minor"/>
      </rPr>
      <t>:</t>
    </r>
  </si>
  <si>
    <r>
      <t xml:space="preserve">a) </t>
    </r>
    <r>
      <rPr>
        <u/>
        <sz val="11"/>
        <color theme="1"/>
        <rFont val="Calibri"/>
        <family val="2"/>
        <scheme val="minor"/>
      </rPr>
      <t>Peptídicas</t>
    </r>
    <r>
      <rPr>
        <sz val="11"/>
        <color theme="1"/>
        <rFont val="Calibri"/>
        <family val="2"/>
        <scheme val="minor"/>
      </rPr>
      <t>:</t>
    </r>
  </si>
  <si>
    <r>
      <rPr>
        <i/>
        <sz val="11"/>
        <color theme="1"/>
        <rFont val="Calibri"/>
        <family val="2"/>
        <scheme val="minor"/>
      </rPr>
      <t xml:space="preserve"> Isocalóricas</t>
    </r>
    <r>
      <rPr>
        <sz val="11"/>
        <color theme="1"/>
        <rFont val="Calibri"/>
        <family val="2"/>
        <scheme val="minor"/>
      </rPr>
      <t>:</t>
    </r>
  </si>
  <si>
    <r>
      <rPr>
        <i/>
        <sz val="11"/>
        <color theme="1"/>
        <rFont val="Calibri"/>
        <family val="2"/>
        <scheme val="minor"/>
      </rPr>
      <t>Hipercalóricas</t>
    </r>
    <r>
      <rPr>
        <sz val="11"/>
        <color theme="1"/>
        <rFont val="Calibri"/>
        <family val="2"/>
        <scheme val="minor"/>
      </rPr>
      <t>:</t>
    </r>
  </si>
  <si>
    <r>
      <rPr>
        <i/>
        <sz val="11"/>
        <color theme="1"/>
        <rFont val="Calibri"/>
        <family val="2"/>
        <scheme val="minor"/>
      </rPr>
      <t>Hiperproteica/hipercalórica</t>
    </r>
    <r>
      <rPr>
        <sz val="11"/>
        <color theme="1"/>
        <rFont val="Calibri"/>
        <family val="2"/>
        <scheme val="minor"/>
      </rPr>
      <t>:</t>
    </r>
  </si>
  <si>
    <t>3. ESPECÍFICAS</t>
  </si>
  <si>
    <t>Nepro HP (específica para diálisis) 500 ml (vainilla)</t>
  </si>
  <si>
    <t>Nepro LP 220 ml (prediálisis) (vainilla)</t>
  </si>
  <si>
    <t>Diaba HP 500 ml (hiperproteica/isocalórica) (neutro y vainilla)</t>
  </si>
  <si>
    <t>Nutrison Advanced Diason Energy HP (hiperproteica/hipercalórica) 500 ml</t>
  </si>
  <si>
    <t>Impact Enteral 500 ml (neutro)</t>
  </si>
  <si>
    <t>Atempero 500 ml</t>
  </si>
  <si>
    <r>
      <t>a)</t>
    </r>
    <r>
      <rPr>
        <u/>
        <sz val="11"/>
        <color theme="1"/>
        <rFont val="Calibri"/>
        <family val="2"/>
        <scheme val="minor"/>
      </rPr>
      <t xml:space="preserve"> Insuficiencia renal crónica</t>
    </r>
    <r>
      <rPr>
        <sz val="11"/>
        <color theme="1"/>
        <rFont val="Calibri"/>
        <family val="2"/>
        <scheme val="minor"/>
      </rPr>
      <t>:</t>
    </r>
  </si>
  <si>
    <r>
      <t xml:space="preserve">b) </t>
    </r>
    <r>
      <rPr>
        <u/>
        <sz val="11"/>
        <color theme="1"/>
        <rFont val="Calibri"/>
        <family val="2"/>
        <scheme val="minor"/>
      </rPr>
      <t>Diabetes e hiperglucemias</t>
    </r>
    <r>
      <rPr>
        <sz val="11"/>
        <color theme="1"/>
        <rFont val="Calibri"/>
        <family val="2"/>
        <scheme val="minor"/>
      </rPr>
      <t>: todas llevan fibra</t>
    </r>
  </si>
  <si>
    <r>
      <t xml:space="preserve">d) </t>
    </r>
    <r>
      <rPr>
        <u/>
        <sz val="11"/>
        <color theme="1"/>
        <rFont val="Calibri"/>
        <family val="2"/>
        <scheme val="minor"/>
      </rPr>
      <t>Especial críticos (fase aguda)</t>
    </r>
    <r>
      <rPr>
        <sz val="11"/>
        <color theme="1"/>
        <rFont val="Calibri"/>
        <family val="2"/>
        <scheme val="minor"/>
      </rPr>
      <t>:</t>
    </r>
  </si>
  <si>
    <t>4. SUPLEMENTOS</t>
  </si>
  <si>
    <r>
      <t>c)</t>
    </r>
    <r>
      <rPr>
        <u/>
        <sz val="11"/>
        <color theme="1"/>
        <rFont val="Calibri"/>
        <family val="2"/>
        <scheme val="minor"/>
      </rPr>
      <t xml:space="preserve"> Inmunomoduladoras</t>
    </r>
    <r>
      <rPr>
        <sz val="11"/>
        <color theme="1"/>
        <rFont val="Calibri"/>
        <family val="2"/>
        <scheme val="minor"/>
      </rPr>
      <t>: estrés o hipermetabolismo</t>
    </r>
  </si>
  <si>
    <t>Ensure plus juce 200 ml (manzana)</t>
  </si>
  <si>
    <t xml:space="preserve">Vital 1.5 (hiperproteico/hipercalórico) 200 ml (vainilla, café y frutas del bosque) </t>
  </si>
  <si>
    <t>Resouce protein 200 ml (vainilla, fresa y chocolate)</t>
  </si>
  <si>
    <t>Meritene clinical extraprotein (fresa, café y vainilla)</t>
  </si>
  <si>
    <t>Resource Diabet Plus (hiperproteico) 200 ml (fresa y vainilla)</t>
  </si>
  <si>
    <t>Fortimel compact 125 ml (fresa y vainilla)</t>
  </si>
  <si>
    <t>Supportan 200 ml (capuchino y frutas tropicales)</t>
  </si>
  <si>
    <t>Ensure Plus Advance 200 ml (vainilla y chocolate)</t>
  </si>
  <si>
    <t>Impact oral 237 ml (frutas)</t>
  </si>
  <si>
    <t>Nepro HP (diálisis) 220 ml (vainilla)</t>
  </si>
  <si>
    <t>Nepro LP 220 ml (vainilla)</t>
  </si>
  <si>
    <t>5. OTROS SUPLEMENTOS</t>
  </si>
  <si>
    <t>Renapro: suplemento para pacientes en diálisis</t>
  </si>
  <si>
    <t>Resouce espesante clear bote 250 g</t>
  </si>
  <si>
    <t>Hepatotenex sobres</t>
  </si>
  <si>
    <r>
      <t xml:space="preserve">a) </t>
    </r>
    <r>
      <rPr>
        <u/>
        <sz val="11"/>
        <color theme="1"/>
        <rFont val="Calibri"/>
        <family val="2"/>
        <scheme val="minor"/>
      </rPr>
      <t>Poliméricos sin lípidos</t>
    </r>
    <r>
      <rPr>
        <sz val="11"/>
        <color theme="1"/>
        <rFont val="Calibri"/>
        <family val="2"/>
        <scheme val="minor"/>
      </rPr>
      <t>:</t>
    </r>
  </si>
  <si>
    <r>
      <t xml:space="preserve">b) </t>
    </r>
    <r>
      <rPr>
        <u/>
        <sz val="11"/>
        <color theme="1"/>
        <rFont val="Calibri"/>
        <family val="2"/>
        <scheme val="minor"/>
      </rPr>
      <t>Oligoméricos, peptídicos</t>
    </r>
    <r>
      <rPr>
        <sz val="11"/>
        <color theme="1"/>
        <rFont val="Calibri"/>
        <family val="2"/>
        <scheme val="minor"/>
      </rPr>
      <t>:</t>
    </r>
  </si>
  <si>
    <r>
      <t xml:space="preserve">c) </t>
    </r>
    <r>
      <rPr>
        <u/>
        <sz val="11"/>
        <color theme="1"/>
        <rFont val="Calibri"/>
        <family val="2"/>
        <scheme val="minor"/>
      </rPr>
      <t>Hipercalórico sin fibra</t>
    </r>
    <r>
      <rPr>
        <sz val="11"/>
        <color theme="1"/>
        <rFont val="Calibri"/>
        <family val="2"/>
        <scheme val="minor"/>
      </rPr>
      <t>:</t>
    </r>
  </si>
  <si>
    <r>
      <t xml:space="preserve">e) </t>
    </r>
    <r>
      <rPr>
        <u/>
        <sz val="11"/>
        <color theme="1"/>
        <rFont val="Calibri"/>
        <family val="2"/>
        <scheme val="minor"/>
      </rPr>
      <t>Específicos</t>
    </r>
    <r>
      <rPr>
        <sz val="11"/>
        <color theme="1"/>
        <rFont val="Calibri"/>
        <family val="2"/>
        <scheme val="minor"/>
      </rPr>
      <t>:</t>
    </r>
  </si>
  <si>
    <r>
      <rPr>
        <i/>
        <sz val="11"/>
        <color theme="1"/>
        <rFont val="Calibri"/>
        <family val="2"/>
        <scheme val="minor"/>
      </rPr>
      <t>Diabetes/hiperglucemia</t>
    </r>
    <r>
      <rPr>
        <sz val="11"/>
        <color theme="1"/>
        <rFont val="Calibri"/>
        <family val="2"/>
        <scheme val="minor"/>
      </rPr>
      <t>:</t>
    </r>
  </si>
  <si>
    <r>
      <rPr>
        <i/>
        <sz val="11"/>
        <color theme="1"/>
        <rFont val="Calibri"/>
        <family val="2"/>
        <scheme val="minor"/>
      </rPr>
      <t>Normocalórico</t>
    </r>
    <r>
      <rPr>
        <sz val="11"/>
        <color theme="1"/>
        <rFont val="Calibri"/>
        <family val="2"/>
        <scheme val="minor"/>
      </rPr>
      <t>:</t>
    </r>
  </si>
  <si>
    <r>
      <rPr>
        <i/>
        <sz val="11"/>
        <color theme="1"/>
        <rFont val="Calibri"/>
        <family val="2"/>
        <scheme val="minor"/>
      </rPr>
      <t>Pacientes oncológicos</t>
    </r>
    <r>
      <rPr>
        <sz val="11"/>
        <color theme="1"/>
        <rFont val="Calibri"/>
        <family val="2"/>
        <scheme val="minor"/>
      </rPr>
      <t>:</t>
    </r>
  </si>
  <si>
    <r>
      <rPr>
        <i/>
        <sz val="11"/>
        <color theme="1"/>
        <rFont val="Calibri"/>
        <family val="2"/>
        <scheme val="minor"/>
      </rPr>
      <t>Con inmunomoduladores</t>
    </r>
    <r>
      <rPr>
        <sz val="11"/>
        <color theme="1"/>
        <rFont val="Calibri"/>
        <family val="2"/>
        <scheme val="minor"/>
      </rPr>
      <t>:</t>
    </r>
  </si>
  <si>
    <r>
      <rPr>
        <i/>
        <sz val="11"/>
        <color theme="1"/>
        <rFont val="Calibri"/>
        <family val="2"/>
        <scheme val="minor"/>
      </rPr>
      <t>Insuficiencia renal crónica</t>
    </r>
    <r>
      <rPr>
        <sz val="11"/>
        <color theme="1"/>
        <rFont val="Calibri"/>
        <family val="2"/>
        <scheme val="minor"/>
      </rPr>
      <t>:</t>
    </r>
  </si>
  <si>
    <r>
      <rPr>
        <i/>
        <sz val="11"/>
        <color theme="1"/>
        <rFont val="Calibri"/>
        <family val="2"/>
        <scheme val="minor"/>
      </rPr>
      <t>Sarcopenia</t>
    </r>
    <r>
      <rPr>
        <sz val="11"/>
        <color theme="1"/>
        <rFont val="Calibri"/>
        <family val="2"/>
        <scheme val="minor"/>
      </rPr>
      <t>:</t>
    </r>
  </si>
  <si>
    <t>Sondavant Estándar 500 ml (alternativa según disponibilidad)</t>
  </si>
  <si>
    <t>Ensure Plus RTH 500 ml 1.5</t>
  </si>
  <si>
    <t>Novasource Diabet 500 ml (vainilla)</t>
  </si>
  <si>
    <t>Nutavant Diabética 500 ml (alternativa según disponibilidad)</t>
  </si>
  <si>
    <t>Resouce Energy 200 ml (chocolate y vainilla)</t>
  </si>
  <si>
    <t>Dietgrif Activ Energy 200 ml (fresa-plátano, vainilla)</t>
  </si>
  <si>
    <r>
      <t xml:space="preserve">d) </t>
    </r>
    <r>
      <rPr>
        <u/>
        <sz val="11"/>
        <color theme="1"/>
        <rFont val="Calibri"/>
        <family val="2"/>
        <scheme val="minor"/>
      </rPr>
      <t>Hipercalórico con fibra</t>
    </r>
    <r>
      <rPr>
        <sz val="11"/>
        <color theme="1"/>
        <rFont val="Calibri"/>
        <family val="2"/>
        <scheme val="minor"/>
      </rPr>
      <t>:</t>
    </r>
  </si>
  <si>
    <r>
      <t xml:space="preserve">e) </t>
    </r>
    <r>
      <rPr>
        <u/>
        <sz val="11"/>
        <color theme="1"/>
        <rFont val="Calibri"/>
        <family val="2"/>
        <scheme val="minor"/>
      </rPr>
      <t>Hiperproteico</t>
    </r>
    <r>
      <rPr>
        <sz val="11"/>
        <color theme="1"/>
        <rFont val="Calibri"/>
        <family val="2"/>
        <scheme val="minor"/>
      </rPr>
      <t>:</t>
    </r>
  </si>
  <si>
    <t>Nutavant HC (cappuccino y fresa)</t>
  </si>
  <si>
    <r>
      <rPr>
        <i/>
        <sz val="11"/>
        <color theme="1"/>
        <rFont val="Calibri"/>
        <family val="2"/>
        <scheme val="minor"/>
      </rPr>
      <t>Hipercalórico sin fibra</t>
    </r>
    <r>
      <rPr>
        <sz val="11"/>
        <color theme="1"/>
        <rFont val="Calibri"/>
        <family val="2"/>
        <scheme val="minor"/>
      </rPr>
      <t>:</t>
    </r>
  </si>
  <si>
    <t>Hipercalórico con fibra:</t>
  </si>
  <si>
    <t>Tdiet 200 ml (leche merengada, café)</t>
  </si>
  <si>
    <t xml:space="preserve">Glucerna Advanced 1.6 220 ml (café) </t>
  </si>
  <si>
    <t>Diben Drink 200 ml (praliné)</t>
  </si>
  <si>
    <t>Resource Activ 200 ml (vainilla, tropical, piña)</t>
  </si>
  <si>
    <t>Resource  instant protein 400 g polvo</t>
  </si>
  <si>
    <t xml:space="preserve">Isosource </t>
  </si>
  <si>
    <t>Ensure Plus</t>
  </si>
  <si>
    <r>
      <rPr>
        <b/>
        <sz val="11"/>
        <color rgb="FFFF0000"/>
        <rFont val="Calibri"/>
        <family val="2"/>
        <scheme val="minor"/>
      </rPr>
      <t xml:space="preserve">NUTRICIONES ENTERALES </t>
    </r>
    <r>
      <rPr>
        <b/>
        <sz val="11"/>
        <color theme="1"/>
        <rFont val="Calibri"/>
        <family val="2"/>
        <scheme val="minor"/>
      </rPr>
      <t>(composición/volumen especificado)</t>
    </r>
  </si>
  <si>
    <t xml:space="preserve">Advance </t>
  </si>
  <si>
    <t>RTH</t>
  </si>
  <si>
    <t>Protein</t>
  </si>
  <si>
    <t>Fibre</t>
  </si>
  <si>
    <t>2.0 Protein</t>
  </si>
  <si>
    <t xml:space="preserve">Protein </t>
  </si>
  <si>
    <t>Plus Energy</t>
  </si>
  <si>
    <t>Isosource Protein 1.3 Fibre (antiguo Jevity plus)</t>
  </si>
  <si>
    <t>Nutrison Protein Plus Energy Multifibre (alternativa según disponibilidad)</t>
  </si>
  <si>
    <t>Isosource 2.0 Protein Fibre 500 ml (alternativa según disponibilidad)</t>
  </si>
  <si>
    <t>(actualización Diciembre-2023)</t>
  </si>
  <si>
    <t>(si nombre en azul, dieta incluida para formular en este Excel)</t>
  </si>
  <si>
    <t>SondAvant</t>
  </si>
  <si>
    <t>Estándar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</si>
</sst>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i/>
      <sz val="11"/>
      <color rgb="FF0070C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8" tint="-0.24997711111789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FF66CC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D7AF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65ED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  <xf numFmtId="1" fontId="1" fillId="0" borderId="0" xfId="0" applyNumberFormat="1" applyFont="1"/>
    <xf numFmtId="2" fontId="0" fillId="0" borderId="0" xfId="0" applyNumberFormat="1"/>
    <xf numFmtId="2" fontId="2" fillId="0" borderId="0" xfId="0" applyNumberFormat="1" applyFont="1" applyAlignment="1">
      <alignment horizontal="center"/>
    </xf>
    <xf numFmtId="4" fontId="4" fillId="0" borderId="0" xfId="0" applyNumberFormat="1" applyFont="1"/>
    <xf numFmtId="2" fontId="4" fillId="0" borderId="0" xfId="0" applyNumberFormat="1" applyFont="1"/>
    <xf numFmtId="0" fontId="0" fillId="4" borderId="0" xfId="0" applyFill="1"/>
    <xf numFmtId="0" fontId="8" fillId="0" borderId="0" xfId="0" applyFont="1"/>
    <xf numFmtId="0" fontId="9" fillId="0" borderId="0" xfId="0" applyFont="1"/>
    <xf numFmtId="1" fontId="0" fillId="0" borderId="0" xfId="0" applyNumberFormat="1"/>
    <xf numFmtId="0" fontId="10" fillId="0" borderId="0" xfId="0" applyFont="1"/>
    <xf numFmtId="2" fontId="2" fillId="0" borderId="0" xfId="0" applyNumberFormat="1" applyFont="1"/>
    <xf numFmtId="0" fontId="2" fillId="0" borderId="0" xfId="0" applyFont="1" applyProtection="1">
      <protection hidden="1"/>
    </xf>
    <xf numFmtId="0" fontId="2" fillId="0" borderId="0" xfId="0" applyFont="1"/>
    <xf numFmtId="1" fontId="2" fillId="0" borderId="0" xfId="0" applyNumberFormat="1" applyFont="1"/>
    <xf numFmtId="0" fontId="7" fillId="4" borderId="0" xfId="0" applyFont="1" applyFill="1"/>
    <xf numFmtId="1" fontId="0" fillId="4" borderId="0" xfId="0" applyNumberFormat="1" applyFill="1" applyProtection="1">
      <protection locked="0"/>
    </xf>
    <xf numFmtId="1" fontId="0" fillId="2" borderId="0" xfId="0" applyNumberFormat="1" applyFill="1"/>
    <xf numFmtId="2" fontId="0" fillId="4" borderId="0" xfId="0" applyNumberFormat="1" applyFill="1" applyProtection="1">
      <protection locked="0"/>
    </xf>
    <xf numFmtId="2" fontId="0" fillId="0" borderId="0" xfId="0" applyNumberFormat="1" applyProtection="1">
      <protection locked="0"/>
    </xf>
    <xf numFmtId="2" fontId="0" fillId="0" borderId="0" xfId="0" applyNumberFormat="1" applyAlignment="1">
      <alignment horizontal="right"/>
    </xf>
    <xf numFmtId="1" fontId="0" fillId="0" borderId="0" xfId="0" applyNumberFormat="1" applyProtection="1">
      <protection locked="0"/>
    </xf>
    <xf numFmtId="0" fontId="11" fillId="0" borderId="0" xfId="0" applyFont="1"/>
    <xf numFmtId="0" fontId="0" fillId="2" borderId="0" xfId="0" applyFill="1"/>
    <xf numFmtId="1" fontId="0" fillId="5" borderId="0" xfId="0" applyNumberFormat="1" applyFill="1"/>
    <xf numFmtId="0" fontId="13" fillId="0" borderId="0" xfId="0" applyFont="1"/>
    <xf numFmtId="0" fontId="0" fillId="0" borderId="0" xfId="0" applyAlignment="1">
      <alignment horizontal="left"/>
    </xf>
    <xf numFmtId="2" fontId="0" fillId="2" borderId="0" xfId="0" applyNumberFormat="1" applyFill="1"/>
    <xf numFmtId="0" fontId="1" fillId="0" borderId="1" xfId="0" applyFont="1" applyBorder="1" applyAlignment="1">
      <alignment horizontal="right"/>
    </xf>
    <xf numFmtId="1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1" fontId="1" fillId="2" borderId="1" xfId="0" applyNumberFormat="1" applyFont="1" applyFill="1" applyBorder="1"/>
    <xf numFmtId="0" fontId="1" fillId="2" borderId="0" xfId="0" applyFont="1" applyFill="1"/>
    <xf numFmtId="1" fontId="0" fillId="2" borderId="0" xfId="0" applyNumberFormat="1" applyFill="1" applyAlignment="1">
      <alignment horizontal="left"/>
    </xf>
    <xf numFmtId="0" fontId="1" fillId="6" borderId="0" xfId="0" applyFont="1" applyFill="1"/>
    <xf numFmtId="0" fontId="0" fillId="6" borderId="0" xfId="0" applyFill="1"/>
    <xf numFmtId="2" fontId="1" fillId="6" borderId="1" xfId="0" applyNumberFormat="1" applyFont="1" applyFill="1" applyBorder="1"/>
    <xf numFmtId="1" fontId="1" fillId="6" borderId="1" xfId="0" applyNumberFormat="1" applyFont="1" applyFill="1" applyBorder="1"/>
    <xf numFmtId="1" fontId="0" fillId="7" borderId="0" xfId="0" applyNumberFormat="1" applyFill="1"/>
    <xf numFmtId="165" fontId="0" fillId="4" borderId="0" xfId="0" applyNumberFormat="1" applyFill="1" applyProtection="1">
      <protection locked="0"/>
    </xf>
    <xf numFmtId="1" fontId="0" fillId="4" borderId="0" xfId="0" applyNumberFormat="1" applyFill="1" applyAlignment="1" applyProtection="1">
      <alignment horizontal="left"/>
      <protection locked="0"/>
    </xf>
    <xf numFmtId="2" fontId="2" fillId="0" borderId="0" xfId="0" applyNumberFormat="1" applyFont="1" applyProtection="1">
      <protection hidden="1"/>
    </xf>
    <xf numFmtId="0" fontId="0" fillId="0" borderId="0" xfId="0" applyProtection="1">
      <protection hidden="1"/>
    </xf>
    <xf numFmtId="1" fontId="2" fillId="0" borderId="0" xfId="0" applyNumberFormat="1" applyFont="1" applyProtection="1">
      <protection hidden="1"/>
    </xf>
    <xf numFmtId="164" fontId="2" fillId="0" borderId="0" xfId="0" applyNumberFormat="1" applyFont="1" applyProtection="1">
      <protection hidden="1"/>
    </xf>
    <xf numFmtId="0" fontId="1" fillId="3" borderId="1" xfId="0" applyFont="1" applyFill="1" applyBorder="1" applyAlignment="1">
      <alignment horizontal="right"/>
    </xf>
    <xf numFmtId="2" fontId="2" fillId="0" borderId="1" xfId="0" applyNumberFormat="1" applyFont="1" applyBorder="1" applyProtection="1">
      <protection hidden="1"/>
    </xf>
    <xf numFmtId="0" fontId="3" fillId="2" borderId="0" xfId="0" applyFont="1" applyFill="1"/>
    <xf numFmtId="165" fontId="1" fillId="2" borderId="1" xfId="0" applyNumberFormat="1" applyFont="1" applyFill="1" applyBorder="1"/>
    <xf numFmtId="0" fontId="13" fillId="0" borderId="0" xfId="0" applyFont="1" applyAlignment="1">
      <alignment horizontal="left"/>
    </xf>
    <xf numFmtId="165" fontId="2" fillId="0" borderId="0" xfId="0" applyNumberFormat="1" applyFont="1" applyProtection="1">
      <protection hidden="1"/>
    </xf>
    <xf numFmtId="1" fontId="1" fillId="2" borderId="0" xfId="0" applyNumberFormat="1" applyFont="1" applyFill="1"/>
    <xf numFmtId="1" fontId="1" fillId="6" borderId="0" xfId="0" applyNumberFormat="1" applyFont="1" applyFill="1"/>
    <xf numFmtId="0" fontId="4" fillId="0" borderId="0" xfId="0" applyFont="1" applyProtection="1">
      <protection hidden="1"/>
    </xf>
    <xf numFmtId="2" fontId="4" fillId="0" borderId="0" xfId="0" applyNumberFormat="1" applyFont="1" applyAlignment="1" applyProtection="1">
      <alignment horizontal="right"/>
      <protection hidden="1"/>
    </xf>
    <xf numFmtId="2" fontId="4" fillId="0" borderId="0" xfId="0" applyNumberFormat="1" applyFont="1" applyAlignment="1" applyProtection="1">
      <alignment horizontal="center"/>
      <protection hidden="1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left"/>
    </xf>
    <xf numFmtId="0" fontId="15" fillId="0" borderId="0" xfId="0" applyFont="1"/>
    <xf numFmtId="1" fontId="14" fillId="0" borderId="0" xfId="0" applyNumberFormat="1" applyFont="1" applyProtection="1">
      <protection hidden="1"/>
    </xf>
    <xf numFmtId="165" fontId="0" fillId="0" borderId="1" xfId="0" applyNumberFormat="1" applyBorder="1"/>
    <xf numFmtId="0" fontId="16" fillId="0" borderId="0" xfId="0" applyFont="1"/>
    <xf numFmtId="2" fontId="16" fillId="0" borderId="0" xfId="0" applyNumberFormat="1" applyFont="1" applyAlignment="1">
      <alignment horizontal="left"/>
    </xf>
    <xf numFmtId="1" fontId="4" fillId="0" borderId="0" xfId="0" applyNumberFormat="1" applyFont="1" applyProtection="1">
      <protection locked="0"/>
    </xf>
    <xf numFmtId="1" fontId="3" fillId="0" borderId="0" xfId="0" applyNumberFormat="1" applyFont="1"/>
    <xf numFmtId="1" fontId="19" fillId="4" borderId="0" xfId="0" applyNumberFormat="1" applyFont="1" applyFill="1" applyProtection="1">
      <protection locked="0"/>
    </xf>
    <xf numFmtId="1" fontId="19" fillId="2" borderId="0" xfId="0" applyNumberFormat="1" applyFont="1" applyFill="1"/>
    <xf numFmtId="0" fontId="18" fillId="0" borderId="0" xfId="0" applyFont="1"/>
    <xf numFmtId="0" fontId="20" fillId="0" borderId="0" xfId="0" applyFont="1"/>
    <xf numFmtId="0" fontId="17" fillId="0" borderId="0" xfId="0" applyFont="1"/>
    <xf numFmtId="0" fontId="12" fillId="9" borderId="0" xfId="0" applyFont="1" applyFill="1"/>
    <xf numFmtId="1" fontId="21" fillId="2" borderId="0" xfId="0" applyNumberFormat="1" applyFont="1" applyFill="1"/>
    <xf numFmtId="2" fontId="21" fillId="3" borderId="0" xfId="0" applyNumberFormat="1" applyFont="1" applyFill="1"/>
    <xf numFmtId="0" fontId="21" fillId="0" borderId="0" xfId="0" applyFont="1"/>
    <xf numFmtId="1" fontId="21" fillId="4" borderId="0" xfId="0" applyNumberFormat="1" applyFont="1" applyFill="1" applyProtection="1">
      <protection locked="0"/>
    </xf>
    <xf numFmtId="0" fontId="1" fillId="8" borderId="0" xfId="0" applyFont="1" applyFill="1" applyAlignment="1">
      <alignment horizontal="right"/>
    </xf>
    <xf numFmtId="2" fontId="1" fillId="6" borderId="0" xfId="0" applyNumberFormat="1" applyFont="1" applyFill="1"/>
    <xf numFmtId="0" fontId="1" fillId="3" borderId="0" xfId="0" applyFont="1" applyFill="1"/>
    <xf numFmtId="0" fontId="1" fillId="0" borderId="0" xfId="0" applyFont="1" applyAlignment="1">
      <alignment horizontal="right"/>
    </xf>
    <xf numFmtId="2" fontId="1" fillId="0" borderId="0" xfId="0" applyNumberFormat="1" applyFont="1"/>
    <xf numFmtId="165" fontId="1" fillId="0" borderId="0" xfId="0" applyNumberFormat="1" applyFont="1"/>
    <xf numFmtId="0" fontId="0" fillId="3" borderId="0" xfId="0" applyFill="1"/>
    <xf numFmtId="0" fontId="0" fillId="3" borderId="0" xfId="0" applyFill="1" applyAlignment="1">
      <alignment horizontal="center"/>
    </xf>
    <xf numFmtId="0" fontId="5" fillId="3" borderId="0" xfId="0" applyFont="1" applyFill="1"/>
    <xf numFmtId="0" fontId="0" fillId="10" borderId="0" xfId="0" applyFill="1"/>
    <xf numFmtId="0" fontId="0" fillId="11" borderId="0" xfId="0" applyFill="1"/>
    <xf numFmtId="0" fontId="0" fillId="3" borderId="0" xfId="0" applyFill="1" applyAlignment="1">
      <alignment horizontal="left"/>
    </xf>
    <xf numFmtId="0" fontId="5" fillId="3" borderId="0" xfId="0" applyFont="1" applyFill="1" applyAlignment="1">
      <alignment horizontal="left"/>
    </xf>
    <xf numFmtId="0" fontId="0" fillId="10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10" borderId="0" xfId="0" applyFill="1" applyAlignment="1">
      <alignment horizontal="right"/>
    </xf>
    <xf numFmtId="0" fontId="0" fillId="11" borderId="0" xfId="0" applyFill="1" applyAlignment="1">
      <alignment horizontal="left"/>
    </xf>
    <xf numFmtId="0" fontId="5" fillId="10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0" xfId="0" applyFont="1" applyFill="1"/>
    <xf numFmtId="2" fontId="1" fillId="6" borderId="2" xfId="0" applyNumberFormat="1" applyFont="1" applyFill="1" applyBorder="1"/>
    <xf numFmtId="0" fontId="1" fillId="3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24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165" fontId="1" fillId="2" borderId="0" xfId="0" applyNumberFormat="1" applyFont="1" applyFill="1"/>
    <xf numFmtId="0" fontId="1" fillId="6" borderId="1" xfId="0" applyFont="1" applyFill="1" applyBorder="1"/>
    <xf numFmtId="0" fontId="3" fillId="6" borderId="1" xfId="0" applyFont="1" applyFill="1" applyBorder="1"/>
    <xf numFmtId="0" fontId="3" fillId="3" borderId="1" xfId="0" applyFont="1" applyFill="1" applyBorder="1" applyAlignment="1">
      <alignment horizontal="right"/>
    </xf>
    <xf numFmtId="1" fontId="2" fillId="0" borderId="1" xfId="0" applyNumberFormat="1" applyFont="1" applyBorder="1" applyProtection="1">
      <protection hidden="1"/>
    </xf>
    <xf numFmtId="0" fontId="1" fillId="8" borderId="1" xfId="0" applyFont="1" applyFill="1" applyBorder="1" applyAlignment="1">
      <alignment horizontal="right"/>
    </xf>
    <xf numFmtId="0" fontId="25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/>
    <xf numFmtId="0" fontId="0" fillId="10" borderId="0" xfId="0" applyFill="1" applyAlignment="1">
      <alignment horizontal="left"/>
    </xf>
    <xf numFmtId="0" fontId="1" fillId="11" borderId="0" xfId="0" applyFont="1" applyFill="1" applyAlignment="1">
      <alignment horizontal="left"/>
    </xf>
    <xf numFmtId="0" fontId="0" fillId="11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5" fillId="3" borderId="0" xfId="0" applyFont="1" applyFill="1" applyAlignment="1">
      <alignment horizontal="left"/>
    </xf>
    <xf numFmtId="0" fontId="0" fillId="10" borderId="0" xfId="0" applyFill="1" applyAlignment="1">
      <alignment horizontal="right"/>
    </xf>
    <xf numFmtId="0" fontId="7" fillId="0" borderId="0" xfId="0" applyFont="1" applyAlignment="1">
      <alignment horizontal="left"/>
    </xf>
    <xf numFmtId="0" fontId="1" fillId="10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7AFFF"/>
      <color rgb="FFFFFF99"/>
      <color rgb="FFFF00FF"/>
      <color rgb="FF66FFFF"/>
      <color rgb="FFCCFFCC"/>
      <color rgb="FFCCFF33"/>
      <color rgb="FFFF66CC"/>
      <color rgb="FFFFFF66"/>
      <color rgb="FF65ED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usernames" Target="revisions/userNames.xml"/><Relationship Id="rId5" Type="http://schemas.openxmlformats.org/officeDocument/2006/relationships/worksheet" Target="worksheets/sheet5.xml"/><Relationship Id="rId10" Type="http://schemas.openxmlformats.org/officeDocument/2006/relationships/revisionHeaders" Target="revisions/revisionHeader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19050</xdr:colOff>
      <xdr:row>5</xdr:row>
      <xdr:rowOff>19050</xdr:rowOff>
    </xdr:from>
    <xdr:ext cx="3135168" cy="436786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 txBox="1"/>
      </xdr:nvSpPr>
      <xdr:spPr>
        <a:xfrm>
          <a:off x="4425950" y="971550"/>
          <a:ext cx="3135168" cy="4367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 b="1"/>
            <a:t>NOTA:</a:t>
          </a:r>
          <a:r>
            <a:rPr lang="es-ES" sz="1100" b="1" baseline="0"/>
            <a:t> límite en ritmo de nutrición enteral 70 ml/h (aunque el valor calculado haya sido mayor)</a:t>
          </a:r>
          <a:endParaRPr lang="es-ES" sz="1100" b="1"/>
        </a:p>
      </xdr:txBody>
    </xdr:sp>
    <xdr:clientData/>
  </xdr:oneCellAnchor>
  <xdr:twoCellAnchor>
    <xdr:from>
      <xdr:col>7</xdr:col>
      <xdr:colOff>514350</xdr:colOff>
      <xdr:row>6</xdr:row>
      <xdr:rowOff>38100</xdr:rowOff>
    </xdr:from>
    <xdr:to>
      <xdr:col>12</xdr:col>
      <xdr:colOff>4330</xdr:colOff>
      <xdr:row>6</xdr:row>
      <xdr:rowOff>43294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>
          <a:off x="4921250" y="1181100"/>
          <a:ext cx="2537980" cy="519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666750</xdr:colOff>
      <xdr:row>2</xdr:row>
      <xdr:rowOff>1</xdr:rowOff>
    </xdr:from>
    <xdr:ext cx="2954339" cy="45720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 txBox="1"/>
      </xdr:nvSpPr>
      <xdr:spPr>
        <a:xfrm>
          <a:off x="3784600" y="190501"/>
          <a:ext cx="2954339" cy="457200"/>
        </a:xfrm>
        <a:prstGeom prst="rect">
          <a:avLst/>
        </a:prstGeom>
        <a:solidFill>
          <a:srgbClr val="FFFF9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ES" sz="1100" b="1">
              <a:solidFill>
                <a:srgbClr val="002060"/>
              </a:solidFill>
            </a:rPr>
            <a:t>1º</a:t>
          </a:r>
          <a:r>
            <a:rPr lang="es-ES" sz="1100" b="1" baseline="0">
              <a:solidFill>
                <a:srgbClr val="002060"/>
              </a:solidFill>
            </a:rPr>
            <a:t> Borrar SIEMPRE todas las casillas señaladas con una flecha roja</a:t>
          </a:r>
        </a:p>
        <a:p>
          <a:endParaRPr lang="es-ES" sz="1100" b="1" baseline="0">
            <a:solidFill>
              <a:srgbClr val="0070C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731981</xdr:colOff>
      <xdr:row>7</xdr:row>
      <xdr:rowOff>22082</xdr:rowOff>
    </xdr:from>
    <xdr:ext cx="3135168" cy="436786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SpPr txBox="1"/>
      </xdr:nvSpPr>
      <xdr:spPr>
        <a:xfrm>
          <a:off x="5303981" y="1416196"/>
          <a:ext cx="3135168" cy="4367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 b="1"/>
            <a:t>NOTA:</a:t>
          </a:r>
          <a:r>
            <a:rPr lang="es-ES" sz="1100" b="1" baseline="0"/>
            <a:t> límite en ritmo de nutrición enteral 70 ml/h (aunque el valor calculado haya sido mayor)</a:t>
          </a:r>
          <a:endParaRPr lang="es-ES" sz="1100" b="1"/>
        </a:p>
      </xdr:txBody>
    </xdr:sp>
    <xdr:clientData/>
  </xdr:oneCellAnchor>
  <xdr:oneCellAnchor>
    <xdr:from>
      <xdr:col>7</xdr:col>
      <xdr:colOff>7070</xdr:colOff>
      <xdr:row>3</xdr:row>
      <xdr:rowOff>27278</xdr:rowOff>
    </xdr:from>
    <xdr:ext cx="2954339" cy="509586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SpPr txBox="1"/>
      </xdr:nvSpPr>
      <xdr:spPr>
        <a:xfrm>
          <a:off x="5341070" y="659392"/>
          <a:ext cx="2954339" cy="509586"/>
        </a:xfrm>
        <a:prstGeom prst="rect">
          <a:avLst/>
        </a:prstGeom>
        <a:solidFill>
          <a:srgbClr val="FFFF9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ES" sz="1100" b="1">
              <a:solidFill>
                <a:srgbClr val="002060"/>
              </a:solidFill>
            </a:rPr>
            <a:t>1º</a:t>
          </a:r>
          <a:r>
            <a:rPr lang="es-ES" sz="1100" b="1" baseline="0">
              <a:solidFill>
                <a:srgbClr val="002060"/>
              </a:solidFill>
            </a:rPr>
            <a:t> Borrar SIEMPRE todas las casillas señaladas con una flecha roja</a:t>
          </a:r>
        </a:p>
        <a:p>
          <a:endParaRPr lang="es-ES" sz="1100" b="1" baseline="0">
            <a:solidFill>
              <a:srgbClr val="0070C0"/>
            </a:solidFill>
          </a:endParaRPr>
        </a:p>
      </xdr:txBody>
    </xdr:sp>
    <xdr:clientData/>
  </xdr:oneCellAnchor>
  <xdr:twoCellAnchor>
    <xdr:from>
      <xdr:col>7</xdr:col>
      <xdr:colOff>92651</xdr:colOff>
      <xdr:row>9</xdr:row>
      <xdr:rowOff>28577</xdr:rowOff>
    </xdr:from>
    <xdr:to>
      <xdr:col>10</xdr:col>
      <xdr:colOff>344631</xdr:colOff>
      <xdr:row>9</xdr:row>
      <xdr:rowOff>33771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CxnSpPr/>
      </xdr:nvCxnSpPr>
      <xdr:spPr>
        <a:xfrm>
          <a:off x="5426651" y="1803691"/>
          <a:ext cx="2537980" cy="519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200026</xdr:colOff>
      <xdr:row>0</xdr:row>
      <xdr:rowOff>85726</xdr:rowOff>
    </xdr:from>
    <xdr:ext cx="2295524" cy="173355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 txBox="1"/>
      </xdr:nvSpPr>
      <xdr:spPr>
        <a:xfrm>
          <a:off x="9344026" y="85726"/>
          <a:ext cx="2295524" cy="1733550"/>
        </a:xfrm>
        <a:prstGeom prst="rect">
          <a:avLst/>
        </a:prstGeom>
        <a:solidFill>
          <a:srgbClr val="FFFF9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ES" sz="1100" b="1"/>
            <a:t>1º Borrar todas las casillas azules</a:t>
          </a:r>
        </a:p>
        <a:p>
          <a:endParaRPr lang="es-ES" sz="1100" b="1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2º Elegir peso adecuado (real o ajustado) para calcular los objetivos nutricionales del paciente</a:t>
          </a:r>
          <a:endParaRPr lang="es-ES" b="1">
            <a:effectLst/>
          </a:endParaRPr>
        </a:p>
        <a:p>
          <a:endParaRPr lang="es-E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3º Introducir todos los datos siempre (si no lleva propofol</a:t>
          </a:r>
          <a:r>
            <a:rPr lang="es-E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poner "0", si no lleva citrato poner "1")</a:t>
          </a:r>
          <a:endParaRPr lang="es-ES">
            <a:effectLst/>
          </a:endParaRPr>
        </a:p>
        <a:p>
          <a:endParaRPr lang="es-ES" sz="1100"/>
        </a:p>
      </xdr:txBody>
    </xdr:sp>
    <xdr:clientData/>
  </xdr:oneCellAnchor>
  <xdr:twoCellAnchor>
    <xdr:from>
      <xdr:col>7</xdr:col>
      <xdr:colOff>742950</xdr:colOff>
      <xdr:row>7</xdr:row>
      <xdr:rowOff>19050</xdr:rowOff>
    </xdr:from>
    <xdr:to>
      <xdr:col>8</xdr:col>
      <xdr:colOff>95250</xdr:colOff>
      <xdr:row>9</xdr:row>
      <xdr:rowOff>180975</xdr:rowOff>
    </xdr:to>
    <xdr:sp macro="" textlink="">
      <xdr:nvSpPr>
        <xdr:cNvPr id="3" name="Abrir llav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076950" y="1352550"/>
          <a:ext cx="114300" cy="542925"/>
        </a:xfrm>
        <a:prstGeom prst="leftBrace">
          <a:avLst/>
        </a:prstGeom>
        <a:ln w="158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12</xdr:col>
      <xdr:colOff>171450</xdr:colOff>
      <xdr:row>2</xdr:row>
      <xdr:rowOff>76200</xdr:rowOff>
    </xdr:from>
    <xdr:to>
      <xdr:col>12</xdr:col>
      <xdr:colOff>438149</xdr:colOff>
      <xdr:row>3</xdr:row>
      <xdr:rowOff>114301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9315450" y="457200"/>
          <a:ext cx="266699" cy="228601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38100</xdr:colOff>
      <xdr:row>6</xdr:row>
      <xdr:rowOff>0</xdr:rowOff>
    </xdr:from>
    <xdr:to>
      <xdr:col>2</xdr:col>
      <xdr:colOff>9525</xdr:colOff>
      <xdr:row>7</xdr:row>
      <xdr:rowOff>28576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800100" y="1143000"/>
          <a:ext cx="733425" cy="219076"/>
        </a:xfrm>
        <a:prstGeom prst="ellipse">
          <a:avLst/>
        </a:prstGeom>
        <a:noFill/>
        <a:ln w="19050">
          <a:solidFill>
            <a:srgbClr val="F808E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514350</xdr:colOff>
      <xdr:row>7</xdr:row>
      <xdr:rowOff>0</xdr:rowOff>
    </xdr:from>
    <xdr:to>
      <xdr:col>2</xdr:col>
      <xdr:colOff>19049</xdr:colOff>
      <xdr:row>8</xdr:row>
      <xdr:rowOff>38101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>
        <a:xfrm>
          <a:off x="1276350" y="1333500"/>
          <a:ext cx="266699" cy="228601"/>
        </a:xfrm>
        <a:prstGeom prst="ellipse">
          <a:avLst/>
        </a:prstGeom>
        <a:noFill/>
        <a:ln w="19050">
          <a:solidFill>
            <a:srgbClr val="F808E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11</xdr:col>
      <xdr:colOff>285750</xdr:colOff>
      <xdr:row>2</xdr:row>
      <xdr:rowOff>0</xdr:rowOff>
    </xdr:from>
    <xdr:to>
      <xdr:col>12</xdr:col>
      <xdr:colOff>28574</xdr:colOff>
      <xdr:row>3</xdr:row>
      <xdr:rowOff>28575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SpPr/>
      </xdr:nvSpPr>
      <xdr:spPr>
        <a:xfrm>
          <a:off x="8667750" y="381000"/>
          <a:ext cx="504824" cy="219075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12</xdr:col>
      <xdr:colOff>142875</xdr:colOff>
      <xdr:row>5</xdr:row>
      <xdr:rowOff>171450</xdr:rowOff>
    </xdr:from>
    <xdr:to>
      <xdr:col>12</xdr:col>
      <xdr:colOff>447674</xdr:colOff>
      <xdr:row>7</xdr:row>
      <xdr:rowOff>9525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SpPr/>
      </xdr:nvSpPr>
      <xdr:spPr>
        <a:xfrm>
          <a:off x="9286875" y="1123950"/>
          <a:ext cx="304799" cy="219075"/>
        </a:xfrm>
        <a:prstGeom prst="ellipse">
          <a:avLst/>
        </a:prstGeom>
        <a:noFill/>
        <a:ln w="19050">
          <a:solidFill>
            <a:srgbClr val="FF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28575</xdr:colOff>
      <xdr:row>2</xdr:row>
      <xdr:rowOff>180975</xdr:rowOff>
    </xdr:from>
    <xdr:to>
      <xdr:col>10</xdr:col>
      <xdr:colOff>733425</xdr:colOff>
      <xdr:row>2</xdr:row>
      <xdr:rowOff>180975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CxnSpPr/>
      </xdr:nvCxnSpPr>
      <xdr:spPr>
        <a:xfrm>
          <a:off x="5362575" y="561975"/>
          <a:ext cx="2990850" cy="0"/>
        </a:xfrm>
        <a:prstGeom prst="line">
          <a:avLst/>
        </a:prstGeom>
        <a:ln w="158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</xdr:row>
      <xdr:rowOff>0</xdr:rowOff>
    </xdr:from>
    <xdr:to>
      <xdr:col>3</xdr:col>
      <xdr:colOff>390525</xdr:colOff>
      <xdr:row>11</xdr:row>
      <xdr:rowOff>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xmlns="" id="{00000000-0008-0000-0200-00000F000000}"/>
            </a:ext>
          </a:extLst>
        </xdr:cNvPr>
        <xdr:cNvCxnSpPr/>
      </xdr:nvCxnSpPr>
      <xdr:spPr>
        <a:xfrm>
          <a:off x="0" y="2095500"/>
          <a:ext cx="2676525" cy="0"/>
        </a:xfrm>
        <a:prstGeom prst="line">
          <a:avLst/>
        </a:prstGeom>
        <a:ln w="158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600075</xdr:colOff>
      <xdr:row>33</xdr:row>
      <xdr:rowOff>19050</xdr:rowOff>
    </xdr:from>
    <xdr:to>
      <xdr:col>6</xdr:col>
      <xdr:colOff>9525</xdr:colOff>
      <xdr:row>34</xdr:row>
      <xdr:rowOff>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>
        <a:xfrm>
          <a:off x="4410075" y="6305550"/>
          <a:ext cx="171450" cy="171450"/>
        </a:xfrm>
        <a:prstGeom prst="ellipse">
          <a:avLst/>
        </a:prstGeom>
        <a:solidFill>
          <a:srgbClr val="FF00FF"/>
        </a:solidFill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561975</xdr:colOff>
      <xdr:row>33</xdr:row>
      <xdr:rowOff>28575</xdr:rowOff>
    </xdr:from>
    <xdr:to>
      <xdr:col>8</xdr:col>
      <xdr:colOff>733425</xdr:colOff>
      <xdr:row>34</xdr:row>
      <xdr:rowOff>9525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xmlns="" id="{00000000-0008-0000-0200-00000D000000}"/>
            </a:ext>
          </a:extLst>
        </xdr:cNvPr>
        <xdr:cNvSpPr/>
      </xdr:nvSpPr>
      <xdr:spPr>
        <a:xfrm>
          <a:off x="6657975" y="6315075"/>
          <a:ext cx="171450" cy="171450"/>
        </a:xfrm>
        <a:prstGeom prst="ellipse">
          <a:avLst/>
        </a:prstGeom>
        <a:solidFill>
          <a:srgbClr val="FFFF99"/>
        </a:solidFill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11</xdr:col>
      <xdr:colOff>0</xdr:colOff>
      <xdr:row>31</xdr:row>
      <xdr:rowOff>0</xdr:rowOff>
    </xdr:from>
    <xdr:ext cx="184731" cy="248851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xmlns="" id="{00000000-0008-0000-0200-000015000000}"/>
            </a:ext>
          </a:extLst>
        </xdr:cNvPr>
        <xdr:cNvSpPr txBox="1"/>
      </xdr:nvSpPr>
      <xdr:spPr>
        <a:xfrm>
          <a:off x="8382000" y="5905500"/>
          <a:ext cx="184731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000" b="1"/>
        </a:p>
      </xdr:txBody>
    </xdr:sp>
    <xdr:clientData/>
  </xdr:oneCellAnchor>
  <xdr:twoCellAnchor>
    <xdr:from>
      <xdr:col>1</xdr:col>
      <xdr:colOff>404812</xdr:colOff>
      <xdr:row>5</xdr:row>
      <xdr:rowOff>95251</xdr:rowOff>
    </xdr:from>
    <xdr:to>
      <xdr:col>3</xdr:col>
      <xdr:colOff>228599</xdr:colOff>
      <xdr:row>6</xdr:row>
      <xdr:rowOff>1</xdr:rowOff>
    </xdr:to>
    <xdr:cxnSp macro="">
      <xdr:nvCxnSpPr>
        <xdr:cNvPr id="26" name="25 Conector angular">
          <a:extLst>
            <a:ext uri="{FF2B5EF4-FFF2-40B4-BE49-F238E27FC236}">
              <a16:creationId xmlns:a16="http://schemas.microsoft.com/office/drawing/2014/main" xmlns="" id="{00000000-0008-0000-0200-00001A000000}"/>
            </a:ext>
          </a:extLst>
        </xdr:cNvPr>
        <xdr:cNvCxnSpPr>
          <a:stCxn id="5" idx="0"/>
        </xdr:cNvCxnSpPr>
      </xdr:nvCxnSpPr>
      <xdr:spPr>
        <a:xfrm rot="5400000" flipH="1" flipV="1">
          <a:off x="1793081" y="421482"/>
          <a:ext cx="95250" cy="1347787"/>
        </a:xfrm>
        <a:prstGeom prst="bentConnector2">
          <a:avLst/>
        </a:prstGeom>
        <a:ln w="15875">
          <a:solidFill>
            <a:srgbClr val="FF00FF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600075</xdr:colOff>
      <xdr:row>32</xdr:row>
      <xdr:rowOff>57150</xdr:rowOff>
    </xdr:from>
    <xdr:ext cx="2714625" cy="609013"/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SpPr txBox="1"/>
      </xdr:nvSpPr>
      <xdr:spPr>
        <a:xfrm>
          <a:off x="600075" y="6153150"/>
          <a:ext cx="2714625" cy="609013"/>
        </a:xfrm>
        <a:prstGeom prst="rect">
          <a:avLst/>
        </a:prstGeom>
        <a:solidFill>
          <a:srgbClr val="CCFF3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/>
            <a:t>NOTA: si nutrición por </a:t>
          </a:r>
          <a:r>
            <a:rPr lang="es-ES" sz="1100" b="1"/>
            <a:t>Sonda Naso-yeyunal </a:t>
          </a:r>
          <a:r>
            <a:rPr lang="es-ES" sz="1100"/>
            <a:t>elegir nutrición </a:t>
          </a:r>
          <a:r>
            <a:rPr lang="es-ES" sz="1100" b="1"/>
            <a:t>OLIGOMÉRICA</a:t>
          </a:r>
          <a:r>
            <a:rPr lang="es-ES" sz="1100" baseline="0"/>
            <a:t> = </a:t>
          </a:r>
          <a:r>
            <a:rPr lang="es-ES" sz="1100" b="1" u="sng" baseline="0"/>
            <a:t>Peptamen AF Enteral</a:t>
          </a:r>
          <a:endParaRPr lang="es-ES" sz="1100" b="1" u="sng"/>
        </a:p>
      </xdr:txBody>
    </xdr:sp>
    <xdr:clientData/>
  </xdr:oneCellAnchor>
  <xdr:twoCellAnchor>
    <xdr:from>
      <xdr:col>2</xdr:col>
      <xdr:colOff>208788</xdr:colOff>
      <xdr:row>29</xdr:row>
      <xdr:rowOff>161924</xdr:rowOff>
    </xdr:from>
    <xdr:to>
      <xdr:col>2</xdr:col>
      <xdr:colOff>561975</xdr:colOff>
      <xdr:row>32</xdr:row>
      <xdr:rowOff>0</xdr:rowOff>
    </xdr:to>
    <xdr:sp macro="" textlink="">
      <xdr:nvSpPr>
        <xdr:cNvPr id="12" name="11 Flecha derecha"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SpPr/>
      </xdr:nvSpPr>
      <xdr:spPr>
        <a:xfrm rot="16200000">
          <a:off x="1704594" y="5714618"/>
          <a:ext cx="409576" cy="353187"/>
        </a:xfrm>
        <a:prstGeom prst="rightArrow">
          <a:avLst/>
        </a:prstGeom>
        <a:solidFill>
          <a:srgbClr val="CCFF3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123825</xdr:colOff>
      <xdr:row>1</xdr:row>
      <xdr:rowOff>85725</xdr:rowOff>
    </xdr:from>
    <xdr:ext cx="2419349" cy="1814599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SpPr txBox="1"/>
      </xdr:nvSpPr>
      <xdr:spPr>
        <a:xfrm>
          <a:off x="9267825" y="276225"/>
          <a:ext cx="2419349" cy="1814599"/>
        </a:xfrm>
        <a:prstGeom prst="rect">
          <a:avLst/>
        </a:prstGeom>
        <a:solidFill>
          <a:srgbClr val="FFFF9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 b="1"/>
            <a:t>1º Borrar todas las casillas azules</a:t>
          </a:r>
        </a:p>
        <a:p>
          <a:endParaRPr lang="es-ES" sz="1100" b="1"/>
        </a:p>
        <a:p>
          <a:r>
            <a:rPr lang="es-ES" sz="1100" b="1" baseline="0"/>
            <a:t>2º Elegir peso adecuado (real o ajustado) para calcular los objetivos nutricionales del paciente</a:t>
          </a:r>
        </a:p>
        <a:p>
          <a:endParaRPr lang="es-ES" sz="1100" b="1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3º Introducir siempre</a:t>
          </a:r>
          <a:r>
            <a:rPr lang="es-E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todos los datos en las casillas azules (si paciente no lleva propofol</a:t>
          </a:r>
          <a:r>
            <a:rPr lang="es-E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poner "0", si no lleva citrato poner "1")</a:t>
          </a:r>
          <a:endParaRPr lang="es-ES" sz="1100" b="1"/>
        </a:p>
      </xdr:txBody>
    </xdr:sp>
    <xdr:clientData/>
  </xdr:oneCellAnchor>
  <xdr:twoCellAnchor>
    <xdr:from>
      <xdr:col>11</xdr:col>
      <xdr:colOff>333375</xdr:colOff>
      <xdr:row>2</xdr:row>
      <xdr:rowOff>190499</xdr:rowOff>
    </xdr:from>
    <xdr:to>
      <xdr:col>12</xdr:col>
      <xdr:colOff>47624</xdr:colOff>
      <xdr:row>4</xdr:row>
      <xdr:rowOff>38100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/>
      </xdr:nvSpPr>
      <xdr:spPr>
        <a:xfrm>
          <a:off x="8715375" y="571499"/>
          <a:ext cx="476249" cy="228601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12</xdr:col>
      <xdr:colOff>95250</xdr:colOff>
      <xdr:row>7</xdr:row>
      <xdr:rowOff>9525</xdr:rowOff>
    </xdr:from>
    <xdr:to>
      <xdr:col>12</xdr:col>
      <xdr:colOff>371474</xdr:colOff>
      <xdr:row>8</xdr:row>
      <xdr:rowOff>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xmlns="" id="{00000000-0008-0000-0300-000005000000}"/>
            </a:ext>
          </a:extLst>
        </xdr:cNvPr>
        <xdr:cNvSpPr/>
      </xdr:nvSpPr>
      <xdr:spPr>
        <a:xfrm>
          <a:off x="9239250" y="1343025"/>
          <a:ext cx="276224" cy="180975"/>
        </a:xfrm>
        <a:prstGeom prst="ellipse">
          <a:avLst/>
        </a:prstGeom>
        <a:noFill/>
        <a:ln w="19050">
          <a:solidFill>
            <a:srgbClr val="FF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12</xdr:col>
      <xdr:colOff>104775</xdr:colOff>
      <xdr:row>3</xdr:row>
      <xdr:rowOff>76199</xdr:rowOff>
    </xdr:from>
    <xdr:to>
      <xdr:col>12</xdr:col>
      <xdr:colOff>371474</xdr:colOff>
      <xdr:row>4</xdr:row>
      <xdr:rowOff>114300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SpPr/>
      </xdr:nvSpPr>
      <xdr:spPr>
        <a:xfrm>
          <a:off x="9248775" y="647699"/>
          <a:ext cx="266699" cy="228601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9525</xdr:colOff>
      <xdr:row>6</xdr:row>
      <xdr:rowOff>171450</xdr:rowOff>
    </xdr:from>
    <xdr:to>
      <xdr:col>2</xdr:col>
      <xdr:colOff>19050</xdr:colOff>
      <xdr:row>8</xdr:row>
      <xdr:rowOff>47625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SpPr/>
      </xdr:nvSpPr>
      <xdr:spPr>
        <a:xfrm>
          <a:off x="771525" y="1314450"/>
          <a:ext cx="771525" cy="257175"/>
        </a:xfrm>
        <a:prstGeom prst="ellipse">
          <a:avLst/>
        </a:prstGeom>
        <a:noFill/>
        <a:ln w="19050">
          <a:solidFill>
            <a:srgbClr val="F808E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542925</xdr:colOff>
      <xdr:row>8</xdr:row>
      <xdr:rowOff>19050</xdr:rowOff>
    </xdr:from>
    <xdr:to>
      <xdr:col>2</xdr:col>
      <xdr:colOff>28574</xdr:colOff>
      <xdr:row>9</xdr:row>
      <xdr:rowOff>28576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xmlns="" id="{00000000-0008-0000-0300-000009000000}"/>
            </a:ext>
          </a:extLst>
        </xdr:cNvPr>
        <xdr:cNvSpPr/>
      </xdr:nvSpPr>
      <xdr:spPr>
        <a:xfrm>
          <a:off x="1304925" y="1543050"/>
          <a:ext cx="247649" cy="200026"/>
        </a:xfrm>
        <a:prstGeom prst="ellipse">
          <a:avLst/>
        </a:prstGeom>
        <a:noFill/>
        <a:ln w="19050">
          <a:solidFill>
            <a:srgbClr val="F808E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11</xdr:col>
      <xdr:colOff>619125</xdr:colOff>
      <xdr:row>10</xdr:row>
      <xdr:rowOff>190499</xdr:rowOff>
    </xdr:from>
    <xdr:to>
      <xdr:col>12</xdr:col>
      <xdr:colOff>79248</xdr:colOff>
      <xdr:row>16</xdr:row>
      <xdr:rowOff>66674</xdr:rowOff>
    </xdr:to>
    <xdr:sp macro="" textlink="">
      <xdr:nvSpPr>
        <xdr:cNvPr id="8" name="Cerrar llave 7">
          <a:extLst>
            <a:ext uri="{FF2B5EF4-FFF2-40B4-BE49-F238E27FC236}">
              <a16:creationId xmlns:a16="http://schemas.microsoft.com/office/drawing/2014/main" xmlns="" id="{00000000-0008-0000-0300-000008000000}"/>
            </a:ext>
          </a:extLst>
        </xdr:cNvPr>
        <xdr:cNvSpPr/>
      </xdr:nvSpPr>
      <xdr:spPr>
        <a:xfrm>
          <a:off x="9001125" y="2095499"/>
          <a:ext cx="222123" cy="1019175"/>
        </a:xfrm>
        <a:prstGeom prst="rightBrace">
          <a:avLst/>
        </a:prstGeom>
        <a:ln w="158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395288</xdr:colOff>
      <xdr:row>6</xdr:row>
      <xdr:rowOff>104776</xdr:rowOff>
    </xdr:from>
    <xdr:to>
      <xdr:col>3</xdr:col>
      <xdr:colOff>200025</xdr:colOff>
      <xdr:row>6</xdr:row>
      <xdr:rowOff>171451</xdr:rowOff>
    </xdr:to>
    <xdr:cxnSp macro="">
      <xdr:nvCxnSpPr>
        <xdr:cNvPr id="10" name="9 Conector angular">
          <a:extLst>
            <a:ext uri="{FF2B5EF4-FFF2-40B4-BE49-F238E27FC236}">
              <a16:creationId xmlns:a16="http://schemas.microsoft.com/office/drawing/2014/main" xmlns="" id="{00000000-0008-0000-0300-00000A000000}"/>
            </a:ext>
          </a:extLst>
        </xdr:cNvPr>
        <xdr:cNvCxnSpPr>
          <a:stCxn id="7" idx="0"/>
        </xdr:cNvCxnSpPr>
      </xdr:nvCxnSpPr>
      <xdr:spPr>
        <a:xfrm rot="5400000" flipH="1" flipV="1">
          <a:off x="1788319" y="616745"/>
          <a:ext cx="66675" cy="1328737"/>
        </a:xfrm>
        <a:prstGeom prst="bentConnector2">
          <a:avLst/>
        </a:prstGeom>
        <a:ln w="15875">
          <a:solidFill>
            <a:srgbClr val="FF00FF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762D3AE7-DE55-4042-B19B-99AC7678EF5D}" diskRevisions="1" revisionId="5" version="2">
  <header guid="{708A647F-5037-46C7-9A07-A5635630A674}" dateTime="2025-05-23T12:06:56" maxSheetId="6" userName="lhp53r" r:id="rId1">
    <sheetIdMap count="5">
      <sheetId val="1"/>
      <sheetId val="2"/>
      <sheetId val="3"/>
      <sheetId val="4"/>
      <sheetId val="5"/>
    </sheetIdMap>
  </header>
  <header guid="{762D3AE7-DE55-4042-B19B-99AC7678EF5D}" dateTime="2026-01-23T11:44:39" maxSheetId="6" userName="lhp53r" r:id="rId2" minRId="1" maxRId="5">
    <sheetIdMap count="5">
      <sheetId val="1"/>
      <sheetId val="2"/>
      <sheetId val="3"/>
      <sheetId val="4"/>
      <sheetId val="5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4" numFmtId="4">
    <oc r="C3">
      <v>57</v>
    </oc>
    <nc r="C3">
      <v>69</v>
    </nc>
  </rcc>
  <rcc rId="2" sId="4" numFmtId="4">
    <oc r="E3">
      <v>1.63</v>
    </oc>
    <nc r="E3">
      <v>1.53</v>
    </nc>
  </rcc>
  <rcc rId="3" sId="4" numFmtId="4">
    <oc r="L4">
      <v>59</v>
    </oc>
    <nc r="L4">
      <v>52</v>
    </nc>
  </rcc>
  <rcc rId="4" sId="4" numFmtId="4">
    <oc r="D5">
      <v>25</v>
    </oc>
    <nc r="D5">
      <v>30</v>
    </nc>
  </rcc>
  <rcc rId="5" sId="4" numFmtId="4">
    <oc r="D6">
      <v>1.2</v>
    </oc>
    <nc r="D6">
      <v>1.4</v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708A647F-5037-46C7-9A07-A5635630A674}" name="lhp53r" id="-721073185" dateTime="2026-01-03T10:56:29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opLeftCell="A6" zoomScale="150" zoomScaleNormal="150" workbookViewId="0">
      <selection activeCell="B7" sqref="B7"/>
    </sheetView>
  </sheetViews>
  <sheetFormatPr baseColWidth="10" defaultColWidth="9.109375" defaultRowHeight="14.4" x14ac:dyDescent="0.3"/>
  <cols>
    <col min="6" max="7" width="10.109375" bestFit="1" customWidth="1"/>
  </cols>
  <sheetData>
    <row r="1" spans="1:15" x14ac:dyDescent="0.3">
      <c r="A1" s="119" t="s">
        <v>89</v>
      </c>
      <c r="B1" s="119"/>
      <c r="C1" s="119"/>
      <c r="D1" s="119"/>
      <c r="E1" s="119"/>
      <c r="F1" s="119"/>
      <c r="G1" s="119"/>
      <c r="H1" s="116"/>
      <c r="I1" s="116"/>
      <c r="J1" s="116"/>
      <c r="K1" s="117"/>
      <c r="L1" s="118"/>
      <c r="M1" s="118"/>
      <c r="N1" s="118"/>
      <c r="O1" s="118"/>
    </row>
    <row r="2" spans="1:15" ht="15" x14ac:dyDescent="0.25">
      <c r="B2" s="31"/>
      <c r="C2" s="31"/>
      <c r="D2" s="31"/>
      <c r="E2" s="31"/>
      <c r="F2" s="31"/>
      <c r="G2" s="65"/>
      <c r="H2" s="64"/>
      <c r="I2" s="65"/>
      <c r="J2" s="65"/>
      <c r="K2" s="66"/>
      <c r="L2" s="31"/>
      <c r="M2" s="31"/>
      <c r="N2" s="31"/>
      <c r="O2" s="31"/>
    </row>
    <row r="3" spans="1:15" ht="15.6" x14ac:dyDescent="0.3">
      <c r="A3" s="20" t="s">
        <v>90</v>
      </c>
      <c r="B3" s="11"/>
      <c r="C3" s="11"/>
      <c r="D3" s="11"/>
      <c r="E3" s="11"/>
      <c r="F3" s="83"/>
      <c r="G3" s="3" t="s">
        <v>0</v>
      </c>
      <c r="H3" s="15"/>
      <c r="N3" s="19"/>
      <c r="O3" s="4"/>
    </row>
    <row r="4" spans="1:15" ht="15" x14ac:dyDescent="0.25">
      <c r="F4" s="16">
        <f>F3*0.8</f>
        <v>0</v>
      </c>
      <c r="H4" s="5"/>
      <c r="N4" s="24"/>
      <c r="O4" s="4"/>
    </row>
    <row r="5" spans="1:15" ht="15.6" x14ac:dyDescent="0.3">
      <c r="A5" s="1" t="s">
        <v>94</v>
      </c>
      <c r="F5" s="80">
        <f>F4/40</f>
        <v>0</v>
      </c>
      <c r="G5" s="5" t="s">
        <v>99</v>
      </c>
      <c r="N5" s="7"/>
      <c r="O5" s="10"/>
    </row>
    <row r="6" spans="1:15" ht="15" x14ac:dyDescent="0.25">
      <c r="G6" s="16">
        <f>PRODUCT(F5,11.5)</f>
        <v>0</v>
      </c>
      <c r="N6" s="25"/>
      <c r="O6" s="9"/>
    </row>
    <row r="7" spans="1:15" ht="15.6" x14ac:dyDescent="0.3">
      <c r="A7" s="1" t="s">
        <v>95</v>
      </c>
      <c r="B7" s="2"/>
      <c r="F7" s="80">
        <f>F3/23.5</f>
        <v>0</v>
      </c>
      <c r="G7" s="5" t="s">
        <v>99</v>
      </c>
      <c r="L7" s="16"/>
      <c r="N7" s="7"/>
      <c r="O7" s="6"/>
    </row>
    <row r="8" spans="1:15" ht="15" x14ac:dyDescent="0.25">
      <c r="G8" s="16">
        <f>PRODUCT(F7,11.5)</f>
        <v>0</v>
      </c>
      <c r="H8" s="5"/>
      <c r="N8" s="24"/>
      <c r="O8" s="4"/>
    </row>
    <row r="9" spans="1:15" ht="15" x14ac:dyDescent="0.25">
      <c r="A9" s="47">
        <f>SUM(G6,G8)</f>
        <v>0</v>
      </c>
      <c r="B9" s="18">
        <f>PRODUCT(A9,100)</f>
        <v>0</v>
      </c>
      <c r="G9" s="16"/>
    </row>
    <row r="10" spans="1:15" ht="15.75" x14ac:dyDescent="0.25">
      <c r="A10" s="1" t="s">
        <v>1</v>
      </c>
      <c r="F10" s="81" t="e">
        <f>QUOTIENT(B9,F3)</f>
        <v>#DIV/0!</v>
      </c>
      <c r="G10" s="82" t="s">
        <v>2</v>
      </c>
      <c r="H10" s="5"/>
      <c r="N10" s="26"/>
      <c r="O10" s="4"/>
    </row>
    <row r="11" spans="1:15" ht="15" x14ac:dyDescent="0.25">
      <c r="H11" s="8"/>
      <c r="I11" s="8"/>
      <c r="J11" s="8"/>
      <c r="N11" s="7"/>
    </row>
    <row r="12" spans="1:15" ht="15" x14ac:dyDescent="0.25">
      <c r="A12" s="4"/>
      <c r="F12" s="26"/>
      <c r="G12" s="4"/>
      <c r="H12" s="4"/>
      <c r="N12" s="7"/>
      <c r="O12" s="4"/>
    </row>
    <row r="13" spans="1:15" ht="15" x14ac:dyDescent="0.25">
      <c r="H13" s="5"/>
      <c r="N13" s="24"/>
      <c r="O13" s="4"/>
    </row>
    <row r="14" spans="1:15" ht="15" x14ac:dyDescent="0.25">
      <c r="A14" s="1"/>
      <c r="F14" s="14"/>
    </row>
    <row r="15" spans="1:15" ht="15" x14ac:dyDescent="0.25">
      <c r="A15" s="2"/>
      <c r="F15" s="14"/>
    </row>
    <row r="16" spans="1:15" ht="15" x14ac:dyDescent="0.25">
      <c r="A16" s="1"/>
      <c r="F16" s="14"/>
      <c r="H16" s="5"/>
      <c r="N16" s="14"/>
    </row>
    <row r="17" spans="1:15" ht="15" x14ac:dyDescent="0.25">
      <c r="A17" s="1"/>
      <c r="F17" s="14"/>
    </row>
    <row r="18" spans="1:15" ht="15" x14ac:dyDescent="0.25">
      <c r="B18" s="13"/>
      <c r="F18" s="14"/>
      <c r="G18" s="5"/>
      <c r="H18" s="19"/>
    </row>
    <row r="19" spans="1:15" ht="15" x14ac:dyDescent="0.25">
      <c r="B19" s="13"/>
      <c r="C19" s="12"/>
      <c r="F19" s="14"/>
      <c r="H19" s="4"/>
      <c r="J19" s="2"/>
    </row>
    <row r="20" spans="1:15" ht="15" x14ac:dyDescent="0.25">
      <c r="F20" s="5"/>
      <c r="H20" s="5"/>
      <c r="N20" s="14"/>
      <c r="O20" s="4"/>
    </row>
    <row r="21" spans="1:15" ht="15" x14ac:dyDescent="0.25">
      <c r="F21" s="5"/>
      <c r="H21" s="5"/>
      <c r="N21" s="7"/>
      <c r="O21" s="4"/>
    </row>
    <row r="22" spans="1:15" x14ac:dyDescent="0.3">
      <c r="H22" s="5"/>
      <c r="N22" s="14"/>
    </row>
  </sheetData>
  <sheetProtection password="D257" sheet="1" objects="1" scenarios="1"/>
  <customSheetViews>
    <customSheetView guid="{48944D96-E1C6-470F-BC09-CAA8ED824015}" scale="150" topLeftCell="A6">
      <selection activeCell="B7" sqref="B7"/>
      <pageMargins left="0.7" right="0.7" top="0.75" bottom="0.75" header="0.3" footer="0.3"/>
      <pageSetup paperSize="9" orientation="portrait" r:id="rId1"/>
    </customSheetView>
  </customSheetViews>
  <mergeCells count="3">
    <mergeCell ref="H1:J1"/>
    <mergeCell ref="K1:O1"/>
    <mergeCell ref="A1:G1"/>
  </mergeCell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zoomScale="120" zoomScaleNormal="120" workbookViewId="0">
      <selection activeCell="F5" sqref="F5"/>
    </sheetView>
  </sheetViews>
  <sheetFormatPr baseColWidth="10" defaultRowHeight="14.4" x14ac:dyDescent="0.3"/>
  <sheetData>
    <row r="1" spans="1:17" ht="18" x14ac:dyDescent="0.35">
      <c r="A1" s="77" t="s">
        <v>98</v>
      </c>
      <c r="H1" s="67"/>
    </row>
    <row r="2" spans="1:17" ht="15.75" x14ac:dyDescent="0.25">
      <c r="A2" s="78" t="s">
        <v>97</v>
      </c>
    </row>
    <row r="3" spans="1:17" ht="15" x14ac:dyDescent="0.25">
      <c r="A3" s="15"/>
    </row>
    <row r="4" spans="1:17" ht="15" x14ac:dyDescent="0.25">
      <c r="A4" s="15"/>
    </row>
    <row r="5" spans="1:17" ht="18" x14ac:dyDescent="0.35">
      <c r="A5" s="79" t="s">
        <v>87</v>
      </c>
      <c r="B5" s="11"/>
      <c r="C5" s="11"/>
      <c r="D5" s="11"/>
      <c r="E5" s="11"/>
      <c r="F5" s="74"/>
      <c r="G5" s="4" t="s">
        <v>0</v>
      </c>
      <c r="H5" s="4"/>
      <c r="I5" s="4"/>
      <c r="J5" s="116"/>
      <c r="K5" s="120"/>
      <c r="L5" s="120"/>
      <c r="M5" s="117"/>
      <c r="N5" s="118"/>
      <c r="O5" s="118"/>
      <c r="P5" s="118"/>
      <c r="Q5" s="118"/>
    </row>
    <row r="6" spans="1:17" ht="15" x14ac:dyDescent="0.25">
      <c r="A6" s="15"/>
      <c r="G6" s="2"/>
      <c r="H6" s="2"/>
      <c r="I6" s="2"/>
      <c r="J6" s="27"/>
      <c r="P6" s="19"/>
      <c r="Q6" s="1"/>
    </row>
    <row r="7" spans="1:17" ht="18" x14ac:dyDescent="0.35">
      <c r="A7" s="76" t="s">
        <v>96</v>
      </c>
      <c r="E7" s="2"/>
      <c r="F7" s="75">
        <f>F5/23</f>
        <v>0</v>
      </c>
      <c r="G7" s="78" t="s">
        <v>99</v>
      </c>
      <c r="H7" s="2"/>
      <c r="I7" s="2"/>
      <c r="J7" s="5"/>
      <c r="P7" s="24"/>
      <c r="Q7" s="4"/>
    </row>
    <row r="8" spans="1:17" ht="15" x14ac:dyDescent="0.25">
      <c r="A8" s="13"/>
      <c r="F8" s="14"/>
      <c r="P8" s="7"/>
      <c r="Q8" s="10"/>
    </row>
    <row r="9" spans="1:17" ht="18" x14ac:dyDescent="0.35">
      <c r="A9" s="76" t="s">
        <v>86</v>
      </c>
      <c r="C9" s="2"/>
      <c r="D9" s="2"/>
      <c r="E9" s="2"/>
      <c r="F9" s="75">
        <f>F5/23.5</f>
        <v>0</v>
      </c>
      <c r="G9" s="78" t="s">
        <v>99</v>
      </c>
      <c r="H9" s="2"/>
      <c r="I9" s="2"/>
      <c r="J9" s="59"/>
      <c r="N9" s="2"/>
      <c r="O9" s="2"/>
      <c r="P9" s="60"/>
      <c r="Q9" s="9"/>
    </row>
    <row r="10" spans="1:17" ht="15" x14ac:dyDescent="0.25">
      <c r="A10" s="1"/>
      <c r="F10" s="14"/>
      <c r="M10" s="2"/>
      <c r="N10" s="10"/>
      <c r="O10" s="2"/>
      <c r="P10" s="7"/>
      <c r="Q10" s="6"/>
    </row>
    <row r="11" spans="1:17" ht="15" x14ac:dyDescent="0.25">
      <c r="A11" s="121"/>
      <c r="B11" s="121"/>
      <c r="C11" s="121"/>
      <c r="D11" s="121"/>
      <c r="E11" s="121"/>
      <c r="F11" s="121"/>
      <c r="G11" s="31"/>
      <c r="H11" s="1"/>
      <c r="I11" s="1"/>
      <c r="J11" s="5"/>
      <c r="N11" s="2"/>
      <c r="O11" s="2"/>
      <c r="P11" s="26"/>
      <c r="Q11" s="4"/>
    </row>
    <row r="12" spans="1:17" ht="15" x14ac:dyDescent="0.25">
      <c r="A12" s="15"/>
      <c r="F12" s="2"/>
      <c r="G12" s="2"/>
      <c r="H12" s="2"/>
      <c r="I12" s="2"/>
      <c r="J12" s="61"/>
      <c r="K12" s="62"/>
      <c r="L12" s="62"/>
      <c r="M12" s="2"/>
      <c r="N12" s="2"/>
      <c r="O12" s="2"/>
      <c r="P12" s="10"/>
      <c r="Q12" s="2"/>
    </row>
    <row r="13" spans="1:17" ht="15" x14ac:dyDescent="0.25">
      <c r="A13" s="15"/>
      <c r="F13" s="2"/>
      <c r="G13" s="2"/>
      <c r="H13" s="2"/>
      <c r="I13" s="2"/>
      <c r="J13" s="61"/>
      <c r="K13" s="62"/>
      <c r="L13" s="62"/>
      <c r="M13" s="2"/>
      <c r="N13" s="2"/>
      <c r="O13" s="2"/>
      <c r="P13" s="10"/>
      <c r="Q13" s="2"/>
    </row>
    <row r="14" spans="1:17" ht="15" x14ac:dyDescent="0.25">
      <c r="A14" s="1"/>
      <c r="F14" s="72"/>
      <c r="G14" s="4"/>
      <c r="H14" s="2"/>
      <c r="I14" s="2"/>
      <c r="J14" s="61"/>
      <c r="K14" s="62"/>
      <c r="L14" s="62"/>
      <c r="M14" s="2"/>
      <c r="N14" s="2"/>
      <c r="O14" s="2"/>
      <c r="P14" s="10"/>
      <c r="Q14" s="2"/>
    </row>
    <row r="15" spans="1:17" ht="15" x14ac:dyDescent="0.25">
      <c r="A15" s="2"/>
      <c r="F15" s="2"/>
      <c r="G15" s="2"/>
      <c r="H15" s="2"/>
      <c r="I15" s="2"/>
      <c r="J15" s="61"/>
      <c r="K15" s="62"/>
      <c r="L15" s="62"/>
      <c r="M15" s="2"/>
      <c r="N15" s="2"/>
      <c r="O15" s="2"/>
      <c r="P15" s="10"/>
      <c r="Q15" s="2"/>
    </row>
    <row r="16" spans="1:17" ht="15" x14ac:dyDescent="0.25">
      <c r="A16" s="2"/>
      <c r="F16" s="2"/>
      <c r="G16" s="2"/>
      <c r="H16" s="2"/>
      <c r="I16" s="2"/>
      <c r="J16" s="61"/>
      <c r="K16" s="62"/>
      <c r="L16" s="62"/>
      <c r="M16" s="2"/>
      <c r="N16" s="2"/>
      <c r="O16" s="2"/>
      <c r="P16" s="10"/>
      <c r="Q16" s="2"/>
    </row>
    <row r="17" spans="1:17" ht="15" x14ac:dyDescent="0.25">
      <c r="A17" s="1"/>
      <c r="F17" s="2"/>
      <c r="G17" s="2"/>
      <c r="H17" s="2"/>
      <c r="I17" s="2"/>
      <c r="J17" s="61"/>
      <c r="K17" s="62"/>
      <c r="L17" s="62"/>
      <c r="M17" s="2"/>
      <c r="N17" s="2"/>
      <c r="O17" s="2"/>
      <c r="P17" s="10"/>
      <c r="Q17" s="2"/>
    </row>
    <row r="18" spans="1:17" ht="15" x14ac:dyDescent="0.25">
      <c r="A18" s="5"/>
      <c r="F18" s="72"/>
      <c r="G18" s="4"/>
      <c r="H18" s="2"/>
      <c r="I18" s="2"/>
      <c r="J18" s="5"/>
      <c r="P18" s="24"/>
      <c r="Q18" s="4"/>
    </row>
    <row r="19" spans="1:17" ht="15" x14ac:dyDescent="0.25">
      <c r="A19" s="5"/>
      <c r="F19" s="49"/>
      <c r="G19" s="4"/>
      <c r="H19" s="2"/>
      <c r="I19" s="2"/>
      <c r="P19" s="2"/>
      <c r="Q19" s="2"/>
    </row>
    <row r="20" spans="1:17" x14ac:dyDescent="0.3">
      <c r="A20" s="17"/>
      <c r="D20" s="17"/>
      <c r="F20" s="2"/>
      <c r="G20" s="2"/>
      <c r="H20" s="2"/>
      <c r="I20" s="2"/>
      <c r="J20" s="5"/>
      <c r="O20" s="2"/>
      <c r="P20" s="14"/>
      <c r="Q20" s="2"/>
    </row>
    <row r="21" spans="1:17" x14ac:dyDescent="0.3">
      <c r="A21" s="17"/>
      <c r="D21" s="17"/>
      <c r="F21" s="2"/>
      <c r="O21" s="2"/>
      <c r="P21" s="2"/>
      <c r="Q21" s="2"/>
    </row>
    <row r="22" spans="1:17" x14ac:dyDescent="0.3">
      <c r="A22" s="5"/>
      <c r="F22" s="10"/>
      <c r="G22" s="2"/>
      <c r="H22" s="2"/>
      <c r="I22" s="2"/>
      <c r="J22" s="63"/>
      <c r="K22" s="2"/>
      <c r="L22" s="2"/>
      <c r="M22" s="2"/>
      <c r="N22" s="2"/>
      <c r="O22" s="2"/>
      <c r="P22" s="2"/>
      <c r="Q22" s="2"/>
    </row>
    <row r="23" spans="1:17" x14ac:dyDescent="0.3">
      <c r="A23" s="5"/>
      <c r="B23" s="13"/>
      <c r="C23" s="12"/>
      <c r="D23" s="12"/>
      <c r="F23" s="10"/>
      <c r="G23" s="2"/>
      <c r="H23" s="2"/>
      <c r="I23" s="2"/>
      <c r="J23" s="4"/>
      <c r="L23" s="2"/>
      <c r="Q23" s="2"/>
    </row>
    <row r="24" spans="1:17" x14ac:dyDescent="0.3">
      <c r="A24" s="17" t="s">
        <v>88</v>
      </c>
      <c r="F24" s="68"/>
      <c r="G24" s="2"/>
      <c r="H24" s="2"/>
      <c r="I24" s="2"/>
      <c r="J24" s="5"/>
      <c r="O24" s="2"/>
      <c r="P24" s="26"/>
      <c r="Q24" s="4"/>
    </row>
    <row r="25" spans="1:17" x14ac:dyDescent="0.3">
      <c r="A25" s="5"/>
      <c r="F25" s="73"/>
      <c r="G25" s="2"/>
      <c r="H25" s="2"/>
      <c r="I25" s="2"/>
      <c r="J25" s="5"/>
      <c r="O25" s="2"/>
      <c r="P25" s="24"/>
      <c r="Q25" s="4"/>
    </row>
    <row r="26" spans="1:17" x14ac:dyDescent="0.3">
      <c r="F26" s="1"/>
      <c r="G26" s="2"/>
      <c r="H26" s="2"/>
      <c r="I26" s="2"/>
      <c r="J26" s="5"/>
      <c r="O26" s="2"/>
      <c r="P26" s="24"/>
      <c r="Q26" s="4"/>
    </row>
    <row r="27" spans="1:17" x14ac:dyDescent="0.3">
      <c r="A27" s="5"/>
      <c r="F27" s="63"/>
      <c r="G27" s="2"/>
      <c r="H27" s="2"/>
      <c r="I27" s="2"/>
      <c r="J27" s="5"/>
      <c r="O27" s="2"/>
      <c r="P27" s="14"/>
      <c r="Q27" s="2"/>
    </row>
    <row r="28" spans="1:17" x14ac:dyDescent="0.3">
      <c r="A28" s="4"/>
      <c r="F28" s="2"/>
      <c r="Q28" s="2"/>
    </row>
  </sheetData>
  <sheetProtection password="D257" sheet="1" objects="1" scenarios="1"/>
  <customSheetViews>
    <customSheetView guid="{48944D96-E1C6-470F-BC09-CAA8ED824015}" scale="120">
      <selection activeCell="F5" sqref="F5"/>
      <pageMargins left="0.7" right="0.7" top="0.75" bottom="0.75" header="0.3" footer="0.3"/>
      <pageSetup paperSize="9" orientation="portrait" r:id="rId1"/>
    </customSheetView>
  </customSheetViews>
  <mergeCells count="3">
    <mergeCell ref="J5:L5"/>
    <mergeCell ref="M5:Q5"/>
    <mergeCell ref="A11:F11"/>
  </mergeCell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4"/>
  <sheetViews>
    <sheetView topLeftCell="A4" zoomScaleNormal="100" workbookViewId="0">
      <selection activeCell="G32" sqref="G32"/>
    </sheetView>
  </sheetViews>
  <sheetFormatPr baseColWidth="10" defaultRowHeight="14.4" x14ac:dyDescent="0.3"/>
  <sheetData>
    <row r="1" spans="1:22" x14ac:dyDescent="0.3">
      <c r="A1" s="4" t="s">
        <v>61</v>
      </c>
    </row>
    <row r="2" spans="1:22" ht="15" x14ac:dyDescent="0.25">
      <c r="A2" t="s">
        <v>66</v>
      </c>
      <c r="C2" s="23">
        <v>76</v>
      </c>
      <c r="D2" t="s">
        <v>26</v>
      </c>
      <c r="E2" s="23">
        <v>1.65</v>
      </c>
      <c r="F2" t="s">
        <v>67</v>
      </c>
      <c r="G2" s="32">
        <f>C2/A3</f>
        <v>27.915518824609737</v>
      </c>
      <c r="H2" t="s">
        <v>28</v>
      </c>
      <c r="I2" s="32">
        <f>D3+50</f>
        <v>61.25</v>
      </c>
      <c r="J2" t="s">
        <v>29</v>
      </c>
      <c r="L2" s="32">
        <f>I2+F3</f>
        <v>66.117500000000007</v>
      </c>
    </row>
    <row r="3" spans="1:22" ht="15" x14ac:dyDescent="0.25">
      <c r="A3" s="47">
        <f>E2*E2</f>
        <v>2.7224999999999997</v>
      </c>
      <c r="B3" s="47">
        <f>E2*100</f>
        <v>165</v>
      </c>
      <c r="C3" s="47">
        <f>B3-150</f>
        <v>15</v>
      </c>
      <c r="D3" s="47">
        <f>C3*0.75</f>
        <v>11.25</v>
      </c>
      <c r="E3" s="47">
        <f>C2-I2</f>
        <v>14.75</v>
      </c>
      <c r="F3" s="47">
        <f>E3*0.33</f>
        <v>4.8675000000000006</v>
      </c>
      <c r="G3" s="48"/>
      <c r="H3" s="5" t="s">
        <v>11</v>
      </c>
      <c r="L3" s="23">
        <v>61</v>
      </c>
    </row>
    <row r="4" spans="1:22" x14ac:dyDescent="0.3">
      <c r="A4" t="s">
        <v>68</v>
      </c>
      <c r="B4" s="2"/>
      <c r="D4" s="21">
        <v>25</v>
      </c>
      <c r="F4" s="22">
        <f>D4*L3</f>
        <v>1525</v>
      </c>
      <c r="G4" s="1" t="s">
        <v>3</v>
      </c>
    </row>
    <row r="5" spans="1:22" x14ac:dyDescent="0.3">
      <c r="A5" t="s">
        <v>31</v>
      </c>
      <c r="D5" s="45">
        <v>1.2</v>
      </c>
      <c r="F5" s="32">
        <f>D5*L3</f>
        <v>73.2</v>
      </c>
      <c r="G5" s="5" t="s">
        <v>4</v>
      </c>
      <c r="I5" s="22">
        <f>F5/6.25</f>
        <v>11.712</v>
      </c>
      <c r="J5" s="1" t="s">
        <v>5</v>
      </c>
    </row>
    <row r="6" spans="1:22" x14ac:dyDescent="0.3">
      <c r="A6" s="17" t="s">
        <v>6</v>
      </c>
      <c r="B6" s="48"/>
      <c r="C6" s="47">
        <f>F5*4</f>
        <v>292.8</v>
      </c>
      <c r="D6" s="70" t="s">
        <v>7</v>
      </c>
      <c r="E6" s="48"/>
      <c r="F6" s="71">
        <f>B7*1.1</f>
        <v>0</v>
      </c>
      <c r="G6" s="17" t="s">
        <v>10</v>
      </c>
      <c r="H6" s="49">
        <f>300*E8</f>
        <v>0</v>
      </c>
      <c r="I6" s="17" t="s">
        <v>12</v>
      </c>
      <c r="J6" s="48"/>
      <c r="K6" s="47">
        <f>F4-C6</f>
        <v>1232.2</v>
      </c>
      <c r="L6" s="48"/>
    </row>
    <row r="7" spans="1:22" x14ac:dyDescent="0.3">
      <c r="A7" s="5" t="s">
        <v>62</v>
      </c>
      <c r="B7" s="23">
        <v>0</v>
      </c>
      <c r="C7" t="s">
        <v>69</v>
      </c>
      <c r="E7" s="17" t="s">
        <v>14</v>
      </c>
      <c r="F7" s="48"/>
      <c r="G7" s="47">
        <f>F6+H6</f>
        <v>0</v>
      </c>
      <c r="H7" s="17" t="s">
        <v>13</v>
      </c>
      <c r="I7" s="48"/>
      <c r="J7" s="48"/>
      <c r="K7" s="47">
        <f>K6-G7</f>
        <v>1232.2</v>
      </c>
      <c r="L7" s="48"/>
    </row>
    <row r="8" spans="1:22" x14ac:dyDescent="0.3">
      <c r="A8" s="5" t="s">
        <v>63</v>
      </c>
      <c r="B8" s="21">
        <v>1</v>
      </c>
      <c r="C8" s="5" t="s">
        <v>8</v>
      </c>
      <c r="D8" s="17" t="s">
        <v>9</v>
      </c>
      <c r="E8" s="49">
        <f>B8-1</f>
        <v>0</v>
      </c>
      <c r="F8" s="48" t="s">
        <v>39</v>
      </c>
      <c r="G8" s="48"/>
      <c r="H8" s="5" t="s">
        <v>64</v>
      </c>
      <c r="I8" s="22">
        <f>K6/I5</f>
        <v>105.20833333333334</v>
      </c>
    </row>
    <row r="9" spans="1:22" x14ac:dyDescent="0.3">
      <c r="A9" t="s">
        <v>34</v>
      </c>
      <c r="C9" s="46">
        <v>60</v>
      </c>
      <c r="D9" s="5" t="s">
        <v>16</v>
      </c>
      <c r="E9" s="39">
        <f>100-C9</f>
        <v>40</v>
      </c>
      <c r="F9" s="31"/>
      <c r="G9" s="5" t="s">
        <v>65</v>
      </c>
    </row>
    <row r="10" spans="1:22" x14ac:dyDescent="0.3">
      <c r="A10" s="4" t="s">
        <v>18</v>
      </c>
      <c r="I10" s="29">
        <f>K7/I5</f>
        <v>105.20833333333334</v>
      </c>
      <c r="J10" t="s">
        <v>38</v>
      </c>
    </row>
    <row r="11" spans="1:22" x14ac:dyDescent="0.3">
      <c r="A11" t="s">
        <v>85</v>
      </c>
      <c r="F11" s="29">
        <f>I5</f>
        <v>11.712</v>
      </c>
      <c r="G11" t="s">
        <v>15</v>
      </c>
      <c r="H11" s="29">
        <f>E13/4</f>
        <v>184.83</v>
      </c>
      <c r="I11" t="s">
        <v>17</v>
      </c>
      <c r="J11" s="29">
        <f>H13/9</f>
        <v>54.764444444444443</v>
      </c>
      <c r="K11" t="s">
        <v>19</v>
      </c>
      <c r="L11" s="29">
        <f>K7+C6</f>
        <v>1525</v>
      </c>
      <c r="M11" t="s">
        <v>48</v>
      </c>
    </row>
    <row r="12" spans="1:22" x14ac:dyDescent="0.3">
      <c r="A12" s="17" t="s">
        <v>20</v>
      </c>
      <c r="B12" s="48"/>
      <c r="C12" s="47">
        <f>K6*B13</f>
        <v>739.32</v>
      </c>
      <c r="D12" s="17" t="s">
        <v>22</v>
      </c>
      <c r="E12" s="48"/>
      <c r="F12" s="48"/>
      <c r="G12" s="47">
        <f>K6-C12</f>
        <v>492.88</v>
      </c>
      <c r="H12" s="48"/>
      <c r="I12" s="48"/>
      <c r="J12" s="48"/>
      <c r="K12" s="48"/>
      <c r="L12" s="48"/>
      <c r="M12" s="48"/>
      <c r="N12" s="48"/>
      <c r="O12" s="48"/>
    </row>
    <row r="13" spans="1:22" x14ac:dyDescent="0.3">
      <c r="A13" s="17" t="s">
        <v>21</v>
      </c>
      <c r="B13" s="47">
        <f>C9/100</f>
        <v>0.6</v>
      </c>
      <c r="C13" s="17" t="s">
        <v>91</v>
      </c>
      <c r="D13" s="48"/>
      <c r="E13" s="47">
        <f>C12-H6</f>
        <v>739.32</v>
      </c>
      <c r="F13" s="17" t="s">
        <v>24</v>
      </c>
      <c r="G13" s="48"/>
      <c r="H13" s="47">
        <f>G12-F6</f>
        <v>492.88</v>
      </c>
      <c r="I13" s="48"/>
      <c r="J13" s="48"/>
      <c r="K13" s="48"/>
      <c r="L13" s="48"/>
      <c r="M13" s="48"/>
      <c r="N13" s="48"/>
      <c r="O13" s="48"/>
    </row>
    <row r="14" spans="1:22" x14ac:dyDescent="0.3">
      <c r="A14" s="17" t="s">
        <v>45</v>
      </c>
      <c r="B14" s="48"/>
      <c r="C14" s="50">
        <f t="shared" ref="C14:E14" si="0">C21/C18</f>
        <v>1.4999999999999999E-2</v>
      </c>
      <c r="D14" s="50">
        <f t="shared" si="0"/>
        <v>9.1000000000000004E-3</v>
      </c>
      <c r="E14" s="17">
        <f t="shared" si="0"/>
        <v>1.15E-2</v>
      </c>
      <c r="F14" s="17">
        <f t="shared" ref="F14:R14" si="1">F21/F18</f>
        <v>1.2800000000000001E-2</v>
      </c>
      <c r="G14" s="50">
        <f t="shared" si="1"/>
        <v>8.7378640776699032E-3</v>
      </c>
      <c r="H14" s="50">
        <f t="shared" si="1"/>
        <v>1.23E-2</v>
      </c>
      <c r="I14" s="50">
        <f t="shared" si="1"/>
        <v>0.01</v>
      </c>
      <c r="J14" s="50">
        <f t="shared" si="1"/>
        <v>1.0700000000000001E-2</v>
      </c>
      <c r="K14" s="50">
        <f t="shared" si="1"/>
        <v>1.0700000000000001E-2</v>
      </c>
      <c r="L14" s="50">
        <f t="shared" si="1"/>
        <v>9.6078431372549015E-3</v>
      </c>
      <c r="M14" s="50">
        <f t="shared" si="1"/>
        <v>1.6E-2</v>
      </c>
      <c r="N14" s="50">
        <f t="shared" si="1"/>
        <v>1.6E-2</v>
      </c>
      <c r="O14" s="50">
        <f t="shared" si="1"/>
        <v>1.2E-2</v>
      </c>
      <c r="P14" s="50">
        <f t="shared" si="1"/>
        <v>7.7000000000000002E-3</v>
      </c>
      <c r="Q14" s="50">
        <f t="shared" si="1"/>
        <v>6.4000000000000003E-3</v>
      </c>
      <c r="R14" s="50">
        <f t="shared" si="1"/>
        <v>6.4000000000000003E-3</v>
      </c>
      <c r="S14" s="50">
        <f>P21/P18</f>
        <v>7.7000000000000002E-3</v>
      </c>
      <c r="T14" s="50" t="e">
        <f>#REF!/#REF!</f>
        <v>#REF!</v>
      </c>
      <c r="U14" s="50">
        <f>Q21/Q18</f>
        <v>6.4000000000000003E-3</v>
      </c>
      <c r="V14" s="50">
        <f>R21/R18</f>
        <v>6.4000000000000003E-3</v>
      </c>
    </row>
    <row r="15" spans="1:22" x14ac:dyDescent="0.3">
      <c r="A15" s="5" t="s">
        <v>174</v>
      </c>
      <c r="F15" s="105" t="s">
        <v>173</v>
      </c>
      <c r="H15" s="106" t="s">
        <v>100</v>
      </c>
      <c r="J15" s="108"/>
      <c r="K15" s="106" t="s">
        <v>54</v>
      </c>
      <c r="N15" s="106" t="s">
        <v>172</v>
      </c>
      <c r="O15" s="105" t="s">
        <v>100</v>
      </c>
    </row>
    <row r="16" spans="1:22" ht="15" x14ac:dyDescent="0.25">
      <c r="A16" s="5" t="s">
        <v>37</v>
      </c>
      <c r="C16" s="114" t="s">
        <v>73</v>
      </c>
      <c r="D16" s="51" t="s">
        <v>50</v>
      </c>
      <c r="E16" s="84" t="s">
        <v>70</v>
      </c>
      <c r="F16" s="51" t="s">
        <v>175</v>
      </c>
      <c r="G16" s="51" t="s">
        <v>51</v>
      </c>
      <c r="H16" s="106" t="s">
        <v>101</v>
      </c>
      <c r="I16" s="51" t="s">
        <v>53</v>
      </c>
      <c r="J16" s="105" t="s">
        <v>54</v>
      </c>
      <c r="K16" s="112" t="s">
        <v>177</v>
      </c>
      <c r="L16" s="51" t="s">
        <v>55</v>
      </c>
      <c r="M16" s="51" t="s">
        <v>57</v>
      </c>
      <c r="N16" s="105" t="s">
        <v>179</v>
      </c>
      <c r="O16" s="51" t="s">
        <v>180</v>
      </c>
      <c r="P16" s="51" t="s">
        <v>55</v>
      </c>
      <c r="Q16" s="51" t="s">
        <v>187</v>
      </c>
      <c r="R16" s="51" t="s">
        <v>59</v>
      </c>
      <c r="S16" s="5" t="s">
        <v>37</v>
      </c>
      <c r="T16" s="87"/>
    </row>
    <row r="17" spans="1:20" x14ac:dyDescent="0.3">
      <c r="C17" s="114" t="s">
        <v>74</v>
      </c>
      <c r="D17" s="33"/>
      <c r="F17" s="51" t="s">
        <v>176</v>
      </c>
      <c r="G17" s="51" t="s">
        <v>52</v>
      </c>
      <c r="H17" s="107" t="s">
        <v>102</v>
      </c>
      <c r="I17" s="33"/>
      <c r="J17" s="105" t="s">
        <v>177</v>
      </c>
      <c r="K17" s="112" t="s">
        <v>178</v>
      </c>
      <c r="L17" s="51" t="s">
        <v>56</v>
      </c>
      <c r="M17" s="51" t="s">
        <v>58</v>
      </c>
      <c r="N17" s="105" t="s">
        <v>178</v>
      </c>
      <c r="O17" s="51" t="s">
        <v>181</v>
      </c>
      <c r="P17" s="51" t="s">
        <v>72</v>
      </c>
      <c r="Q17" s="51" t="s">
        <v>188</v>
      </c>
      <c r="R17" s="51" t="s">
        <v>60</v>
      </c>
      <c r="T17" s="87"/>
    </row>
    <row r="18" spans="1:20" ht="15" x14ac:dyDescent="0.25">
      <c r="A18" t="s">
        <v>43</v>
      </c>
      <c r="C18" s="35">
        <v>100</v>
      </c>
      <c r="D18" s="34">
        <v>100</v>
      </c>
      <c r="E18" s="14">
        <v>100</v>
      </c>
      <c r="F18" s="35">
        <v>100</v>
      </c>
      <c r="G18" s="34">
        <v>103</v>
      </c>
      <c r="H18">
        <v>100</v>
      </c>
      <c r="I18" s="34">
        <v>100</v>
      </c>
      <c r="J18">
        <v>100</v>
      </c>
      <c r="K18" s="34">
        <v>100</v>
      </c>
      <c r="L18" s="34">
        <v>102</v>
      </c>
      <c r="M18" s="34">
        <v>100</v>
      </c>
      <c r="N18" s="14">
        <v>100</v>
      </c>
      <c r="O18" s="34">
        <v>100</v>
      </c>
      <c r="P18" s="34">
        <v>100</v>
      </c>
      <c r="Q18" s="34">
        <v>100</v>
      </c>
      <c r="R18" s="34">
        <v>100</v>
      </c>
      <c r="S18" t="s">
        <v>43</v>
      </c>
      <c r="T18" s="14"/>
    </row>
    <row r="19" spans="1:20" ht="15" x14ac:dyDescent="0.25">
      <c r="A19" s="40" t="s">
        <v>40</v>
      </c>
      <c r="B19" s="41"/>
      <c r="C19" s="110">
        <v>74.73</v>
      </c>
      <c r="D19" s="42">
        <v>83</v>
      </c>
      <c r="E19" s="85">
        <v>84</v>
      </c>
      <c r="F19" s="111">
        <v>89.41</v>
      </c>
      <c r="G19" s="42">
        <v>89.5</v>
      </c>
      <c r="H19" s="85">
        <v>94.24</v>
      </c>
      <c r="I19" s="42">
        <v>96.5</v>
      </c>
      <c r="J19" s="104">
        <v>96.64</v>
      </c>
      <c r="K19" s="42">
        <v>96.64</v>
      </c>
      <c r="L19" s="42">
        <v>97.3</v>
      </c>
      <c r="M19" s="42">
        <v>98</v>
      </c>
      <c r="N19" s="40">
        <v>99.06</v>
      </c>
      <c r="O19" s="35">
        <v>99.83</v>
      </c>
      <c r="P19" s="42">
        <v>114.3</v>
      </c>
      <c r="Q19" s="42">
        <v>128.44</v>
      </c>
      <c r="R19" s="42">
        <v>135.9</v>
      </c>
      <c r="S19" s="5" t="s">
        <v>40</v>
      </c>
      <c r="T19" s="5"/>
    </row>
    <row r="20" spans="1:20" ht="15" x14ac:dyDescent="0.25">
      <c r="A20" t="s">
        <v>41</v>
      </c>
      <c r="C20" s="35">
        <v>1.5</v>
      </c>
      <c r="D20" s="36">
        <v>1</v>
      </c>
      <c r="E20" s="7">
        <v>1.25</v>
      </c>
      <c r="F20" s="35">
        <v>1.5</v>
      </c>
      <c r="G20" s="36">
        <v>1.01</v>
      </c>
      <c r="H20">
        <v>1.5</v>
      </c>
      <c r="I20" s="36">
        <v>1.25</v>
      </c>
      <c r="J20">
        <v>1.3</v>
      </c>
      <c r="K20" s="36">
        <v>1.3</v>
      </c>
      <c r="L20" s="36">
        <v>1.17</v>
      </c>
      <c r="M20" s="36">
        <v>2</v>
      </c>
      <c r="N20" s="7">
        <v>2.0299999999999998</v>
      </c>
      <c r="O20" s="36">
        <v>1.5</v>
      </c>
      <c r="P20" s="36">
        <v>1.07</v>
      </c>
      <c r="Q20" s="36">
        <v>1</v>
      </c>
      <c r="R20" s="36">
        <v>1.03</v>
      </c>
      <c r="S20" t="s">
        <v>41</v>
      </c>
      <c r="T20" s="7"/>
    </row>
    <row r="21" spans="1:20" ht="15" x14ac:dyDescent="0.25">
      <c r="A21" t="s">
        <v>15</v>
      </c>
      <c r="C21" s="35">
        <v>1.5</v>
      </c>
      <c r="D21" s="36">
        <v>0.91</v>
      </c>
      <c r="E21" s="7">
        <v>1.1499999999999999</v>
      </c>
      <c r="F21" s="35">
        <v>1.28</v>
      </c>
      <c r="G21" s="36">
        <v>0.9</v>
      </c>
      <c r="H21">
        <v>1.23</v>
      </c>
      <c r="I21" s="36">
        <v>1</v>
      </c>
      <c r="J21">
        <v>1.07</v>
      </c>
      <c r="K21" s="36">
        <v>1.07</v>
      </c>
      <c r="L21" s="36">
        <v>0.98</v>
      </c>
      <c r="M21" s="36">
        <v>1.6</v>
      </c>
      <c r="N21" s="7">
        <v>1.6</v>
      </c>
      <c r="O21" s="36">
        <v>1.2</v>
      </c>
      <c r="P21" s="36">
        <v>0.77</v>
      </c>
      <c r="Q21" s="36">
        <v>0.64</v>
      </c>
      <c r="R21" s="36">
        <v>0.64</v>
      </c>
      <c r="S21" t="s">
        <v>15</v>
      </c>
      <c r="T21" s="7"/>
    </row>
    <row r="22" spans="1:20" x14ac:dyDescent="0.3">
      <c r="A22" t="s">
        <v>42</v>
      </c>
      <c r="C22" s="35">
        <v>9.4</v>
      </c>
      <c r="D22" s="35">
        <v>5.7</v>
      </c>
      <c r="E22">
        <v>7.2</v>
      </c>
      <c r="F22" s="35">
        <v>8</v>
      </c>
      <c r="G22" s="35">
        <v>5.6</v>
      </c>
      <c r="H22">
        <v>7.7</v>
      </c>
      <c r="I22" s="35">
        <v>6.3</v>
      </c>
      <c r="J22">
        <v>6.7</v>
      </c>
      <c r="K22" s="35">
        <v>6.7</v>
      </c>
      <c r="L22" s="35">
        <v>6.1</v>
      </c>
      <c r="M22" s="69">
        <v>10</v>
      </c>
      <c r="N22">
        <v>10</v>
      </c>
      <c r="O22" s="35">
        <v>7.5</v>
      </c>
      <c r="P22" s="35">
        <v>4.8</v>
      </c>
      <c r="Q22" s="35">
        <v>4</v>
      </c>
      <c r="R22" s="69">
        <v>4</v>
      </c>
      <c r="S22" t="s">
        <v>42</v>
      </c>
    </row>
    <row r="23" spans="1:20" ht="15" x14ac:dyDescent="0.25">
      <c r="A23" t="s">
        <v>92</v>
      </c>
      <c r="C23" s="35"/>
      <c r="D23" s="35">
        <v>1.8</v>
      </c>
      <c r="E23">
        <v>1.7</v>
      </c>
      <c r="F23" s="35">
        <v>1.4</v>
      </c>
      <c r="G23" s="35">
        <v>0</v>
      </c>
      <c r="H23">
        <v>1.5</v>
      </c>
      <c r="I23" s="35">
        <v>1.7</v>
      </c>
      <c r="J23">
        <v>0</v>
      </c>
      <c r="K23" s="35">
        <v>1.5</v>
      </c>
      <c r="L23" s="35">
        <v>2.2000000000000002</v>
      </c>
      <c r="M23" s="35">
        <v>1.5</v>
      </c>
      <c r="N23">
        <v>2</v>
      </c>
      <c r="O23" s="35">
        <v>1.5</v>
      </c>
      <c r="P23" s="35">
        <v>2</v>
      </c>
      <c r="Q23" s="35">
        <v>0</v>
      </c>
      <c r="R23" s="69">
        <v>1.5</v>
      </c>
      <c r="S23" t="s">
        <v>92</v>
      </c>
    </row>
    <row r="24" spans="1:20" ht="15" x14ac:dyDescent="0.25">
      <c r="A24" t="s">
        <v>93</v>
      </c>
      <c r="C24" s="35">
        <v>380</v>
      </c>
      <c r="D24" s="35">
        <v>345</v>
      </c>
      <c r="E24">
        <v>400</v>
      </c>
      <c r="F24" s="35">
        <v>432</v>
      </c>
      <c r="G24" s="35">
        <v>298</v>
      </c>
      <c r="H24">
        <v>360</v>
      </c>
      <c r="I24" s="35">
        <v>424</v>
      </c>
      <c r="J24">
        <v>319</v>
      </c>
      <c r="K24" s="35">
        <v>311</v>
      </c>
      <c r="L24" s="35">
        <v>349</v>
      </c>
      <c r="M24" s="35">
        <v>395</v>
      </c>
      <c r="N24">
        <v>395</v>
      </c>
      <c r="O24" s="35">
        <v>390</v>
      </c>
      <c r="P24" s="34">
        <v>225</v>
      </c>
      <c r="Q24" s="35">
        <v>276</v>
      </c>
      <c r="R24" s="34">
        <v>250</v>
      </c>
      <c r="S24" t="s">
        <v>93</v>
      </c>
    </row>
    <row r="25" spans="1:20" ht="15" x14ac:dyDescent="0.25">
      <c r="A25" s="4" t="s">
        <v>44</v>
      </c>
      <c r="C25" s="52">
        <f>F11-C27</f>
        <v>-3.5379999999999985</v>
      </c>
      <c r="D25" s="52">
        <f>F11-D27</f>
        <v>-2.1655000000000015</v>
      </c>
      <c r="E25" s="47">
        <f>F11-E27</f>
        <v>-2.3179999999999996</v>
      </c>
      <c r="F25" s="52">
        <f>F11-F27</f>
        <v>-1.3013333333333339</v>
      </c>
      <c r="G25" s="52">
        <f>F11-G27</f>
        <v>-1.4813096222243587</v>
      </c>
      <c r="H25" s="47">
        <f>F11-H27</f>
        <v>-0.79299999999999926</v>
      </c>
      <c r="I25" s="52">
        <f>F11-I27</f>
        <v>-0.48800000000000132</v>
      </c>
      <c r="J25" s="49">
        <f>F11-J27</f>
        <v>-0.83992307692307833</v>
      </c>
      <c r="K25" s="113">
        <f>F11-K27</f>
        <v>-0.83992307692307833</v>
      </c>
      <c r="L25" s="52">
        <f>F11-L27</f>
        <v>-0.81104340539634734</v>
      </c>
      <c r="M25" s="52">
        <f>F11-M27</f>
        <v>-0.48800000000000132</v>
      </c>
      <c r="N25" s="49">
        <f>F11-N27</f>
        <v>-0.3077044334975394</v>
      </c>
      <c r="O25" s="113">
        <f>F11-O27</f>
        <v>-0.48799999999999955</v>
      </c>
      <c r="P25" s="52">
        <f>F11-P27</f>
        <v>0.73770093457943986</v>
      </c>
      <c r="Q25" s="52">
        <f>F11-Q27</f>
        <v>1.952</v>
      </c>
      <c r="R25" s="52">
        <f>F11-R27</f>
        <v>2.2362718446601928</v>
      </c>
      <c r="S25" s="4" t="s">
        <v>44</v>
      </c>
      <c r="T25" s="47"/>
    </row>
    <row r="26" spans="1:20" ht="15" x14ac:dyDescent="0.25">
      <c r="A26" s="38" t="s">
        <v>49</v>
      </c>
      <c r="B26" s="28"/>
      <c r="C26" s="37">
        <f>L11/C20</f>
        <v>1016.6666666666666</v>
      </c>
      <c r="D26" s="37">
        <f>L11/D20</f>
        <v>1525</v>
      </c>
      <c r="E26" s="57">
        <f>L11/E20</f>
        <v>1220</v>
      </c>
      <c r="F26" s="37">
        <f>L11/F20</f>
        <v>1016.6666666666666</v>
      </c>
      <c r="G26" s="37">
        <f>L11/G20</f>
        <v>1509.90099009901</v>
      </c>
      <c r="H26" s="57">
        <f>L11/H20</f>
        <v>1016.6666666666666</v>
      </c>
      <c r="I26" s="37">
        <f>L11/I20</f>
        <v>1220</v>
      </c>
      <c r="J26" s="57">
        <f>L11/J20</f>
        <v>1173.0769230769231</v>
      </c>
      <c r="K26" s="37">
        <f>L11/K20</f>
        <v>1173.0769230769231</v>
      </c>
      <c r="L26" s="37">
        <f>L11/L20</f>
        <v>1303.4188034188035</v>
      </c>
      <c r="M26" s="37">
        <f>L11/M20</f>
        <v>762.5</v>
      </c>
      <c r="N26" s="57">
        <f>L11/N20</f>
        <v>751.23152709359613</v>
      </c>
      <c r="O26" s="37">
        <f>L11/O20</f>
        <v>1016.6666666666666</v>
      </c>
      <c r="P26" s="37">
        <f>L11/P20</f>
        <v>1425.233644859813</v>
      </c>
      <c r="Q26" s="37">
        <f>L11/Q20</f>
        <v>1525</v>
      </c>
      <c r="R26" s="37">
        <f>L11/R20</f>
        <v>1480.5825242718447</v>
      </c>
      <c r="S26" s="5" t="s">
        <v>49</v>
      </c>
      <c r="T26" s="6"/>
    </row>
    <row r="27" spans="1:20" ht="15" x14ac:dyDescent="0.25">
      <c r="A27" s="40" t="s">
        <v>46</v>
      </c>
      <c r="B27" s="41"/>
      <c r="C27" s="42">
        <f>C26*C14</f>
        <v>15.249999999999998</v>
      </c>
      <c r="D27" s="42">
        <f>D26*D14</f>
        <v>13.877500000000001</v>
      </c>
      <c r="E27" s="85">
        <f t="shared" ref="E27" si="2">E26*E14</f>
        <v>14.03</v>
      </c>
      <c r="F27" s="42">
        <f t="shared" ref="F27:R27" si="3">F26*F14</f>
        <v>13.013333333333334</v>
      </c>
      <c r="G27" s="42">
        <f t="shared" si="3"/>
        <v>13.193309622224358</v>
      </c>
      <c r="H27" s="85">
        <f t="shared" si="3"/>
        <v>12.504999999999999</v>
      </c>
      <c r="I27" s="42">
        <f t="shared" si="3"/>
        <v>12.200000000000001</v>
      </c>
      <c r="J27" s="85">
        <f t="shared" si="3"/>
        <v>12.551923076923078</v>
      </c>
      <c r="K27" s="42">
        <f t="shared" si="3"/>
        <v>12.551923076923078</v>
      </c>
      <c r="L27" s="42">
        <f t="shared" si="3"/>
        <v>12.523043405396347</v>
      </c>
      <c r="M27" s="42">
        <f t="shared" si="3"/>
        <v>12.200000000000001</v>
      </c>
      <c r="N27" s="85">
        <f t="shared" si="3"/>
        <v>12.019704433497539</v>
      </c>
      <c r="O27" s="42">
        <f t="shared" si="3"/>
        <v>12.2</v>
      </c>
      <c r="P27" s="42">
        <f t="shared" si="3"/>
        <v>10.97429906542056</v>
      </c>
      <c r="Q27" s="42">
        <f t="shared" si="3"/>
        <v>9.76</v>
      </c>
      <c r="R27" s="42">
        <f t="shared" si="3"/>
        <v>9.4757281553398069</v>
      </c>
      <c r="S27" s="5" t="s">
        <v>46</v>
      </c>
      <c r="T27" s="88"/>
    </row>
    <row r="28" spans="1:20" ht="15" x14ac:dyDescent="0.25">
      <c r="A28" s="40" t="s">
        <v>47</v>
      </c>
      <c r="B28" s="41"/>
      <c r="C28" s="43">
        <f t="shared" ref="C28:K28" si="4">C26*C20</f>
        <v>1525</v>
      </c>
      <c r="D28" s="43">
        <f t="shared" si="4"/>
        <v>1525</v>
      </c>
      <c r="E28" s="58">
        <f t="shared" si="4"/>
        <v>1525</v>
      </c>
      <c r="F28" s="43">
        <f t="shared" si="4"/>
        <v>1525</v>
      </c>
      <c r="G28" s="43">
        <f t="shared" si="4"/>
        <v>1525</v>
      </c>
      <c r="H28" s="58">
        <f t="shared" si="4"/>
        <v>1525</v>
      </c>
      <c r="I28" s="43">
        <f t="shared" si="4"/>
        <v>1525</v>
      </c>
      <c r="J28" s="58">
        <f t="shared" si="4"/>
        <v>1525</v>
      </c>
      <c r="K28" s="43">
        <f t="shared" si="4"/>
        <v>1525</v>
      </c>
      <c r="L28" s="43">
        <f t="shared" ref="L28:M28" si="5">L26*L20</f>
        <v>1525</v>
      </c>
      <c r="M28" s="43">
        <f t="shared" si="5"/>
        <v>1525</v>
      </c>
      <c r="N28" s="58">
        <f>N26*N20</f>
        <v>1525</v>
      </c>
      <c r="O28" s="43">
        <f>O26*O20</f>
        <v>1525</v>
      </c>
      <c r="P28" s="43">
        <f>P26*P20</f>
        <v>1525</v>
      </c>
      <c r="Q28" s="43">
        <f>Q26*Q20</f>
        <v>1525</v>
      </c>
      <c r="R28" s="43">
        <f>R26*R20</f>
        <v>1525</v>
      </c>
      <c r="S28" s="5" t="s">
        <v>47</v>
      </c>
      <c r="T28" s="6"/>
    </row>
    <row r="29" spans="1:20" x14ac:dyDescent="0.3">
      <c r="A29" s="4" t="s">
        <v>80</v>
      </c>
      <c r="C29" s="35"/>
      <c r="D29" s="35"/>
      <c r="E29" s="35"/>
      <c r="G29" s="35"/>
      <c r="I29" s="35"/>
      <c r="K29" s="35"/>
      <c r="L29" s="35"/>
      <c r="M29" s="35"/>
      <c r="O29" s="35"/>
      <c r="P29" s="35"/>
      <c r="Q29" s="35"/>
      <c r="R29" s="35"/>
      <c r="S29" s="4" t="s">
        <v>80</v>
      </c>
    </row>
    <row r="30" spans="1:20" x14ac:dyDescent="0.3">
      <c r="A30" s="53" t="s">
        <v>71</v>
      </c>
      <c r="B30" s="28"/>
      <c r="C30" s="54">
        <f t="shared" ref="C30:E30" si="6">C25/3.1</f>
        <v>-1.1412903225806446</v>
      </c>
      <c r="D30" s="54">
        <f t="shared" si="6"/>
        <v>-0.69854838709677469</v>
      </c>
      <c r="E30" s="54">
        <f t="shared" si="6"/>
        <v>-0.7477419354838708</v>
      </c>
      <c r="F30" s="109">
        <f t="shared" ref="F30:K30" si="7">F25/3.1</f>
        <v>-0.41978494623655932</v>
      </c>
      <c r="G30" s="54">
        <f t="shared" si="7"/>
        <v>-0.47784181362076084</v>
      </c>
      <c r="H30" s="109">
        <f t="shared" si="7"/>
        <v>-0.255806451612903</v>
      </c>
      <c r="I30" s="54">
        <f t="shared" si="7"/>
        <v>-0.15741935483871011</v>
      </c>
      <c r="J30" s="54">
        <f t="shared" si="7"/>
        <v>-0.27094292803970266</v>
      </c>
      <c r="K30" s="54">
        <f t="shared" si="7"/>
        <v>-0.27094292803970266</v>
      </c>
      <c r="L30" s="54">
        <f t="shared" ref="L30:M30" si="8">L25/3.1</f>
        <v>-0.26162690496656366</v>
      </c>
      <c r="M30" s="54">
        <f t="shared" si="8"/>
        <v>-0.15741935483871011</v>
      </c>
      <c r="N30" s="54">
        <f>N25/3.1</f>
        <v>-9.9259494676625606E-2</v>
      </c>
      <c r="O30" s="54">
        <f>O25/3.1</f>
        <v>-0.15741935483870953</v>
      </c>
      <c r="P30" s="54">
        <f>P25/3.1</f>
        <v>0.23796804341272254</v>
      </c>
      <c r="Q30" s="54">
        <f>Q25/3.1</f>
        <v>0.62967741935483867</v>
      </c>
      <c r="R30" s="54">
        <f>R25/3.1</f>
        <v>0.72137801440651383</v>
      </c>
      <c r="S30" s="1" t="s">
        <v>71</v>
      </c>
      <c r="T30" s="89"/>
    </row>
    <row r="34" spans="7:10" x14ac:dyDescent="0.3">
      <c r="G34" t="s">
        <v>75</v>
      </c>
      <c r="J34" t="s">
        <v>76</v>
      </c>
    </row>
  </sheetData>
  <sheetProtection algorithmName="SHA-512" hashValue="Q1gU0YSzPUs1Eak5CFKFeUpxfsaM1tlP66Vs9AuOjHucSJY5grO8xmRaZCw45djEnDm3gSm3VgtazOpk8d2LpA==" saltValue="xYPpL2lc2148y2XDVoP3FA==" spinCount="100000" sheet="1" objects="1" scenarios="1"/>
  <customSheetViews>
    <customSheetView guid="{48944D96-E1C6-470F-BC09-CAA8ED824015}" fitToPage="1" topLeftCell="A4">
      <selection activeCell="G32" sqref="G32"/>
      <pageMargins left="0.7" right="0.7" top="0.75" bottom="0.75" header="0.3" footer="0.3"/>
      <pageSetup paperSize="9" scale="52" fitToHeight="0" orientation="landscape" r:id="rId1"/>
    </customSheetView>
  </customSheetViews>
  <pageMargins left="0.7" right="0.7" top="0.75" bottom="0.75" header="0.3" footer="0.3"/>
  <pageSetup paperSize="9" scale="52" fitToHeight="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G15" sqref="G15"/>
    </sheetView>
  </sheetViews>
  <sheetFormatPr baseColWidth="10" defaultRowHeight="14.4" x14ac:dyDescent="0.3"/>
  <sheetData>
    <row r="1" spans="1:13" x14ac:dyDescent="0.3">
      <c r="A1" s="4" t="s">
        <v>36</v>
      </c>
    </row>
    <row r="3" spans="1:13" ht="15" x14ac:dyDescent="0.25">
      <c r="A3" t="s">
        <v>25</v>
      </c>
      <c r="C3" s="23">
        <v>69</v>
      </c>
      <c r="D3" t="s">
        <v>26</v>
      </c>
      <c r="E3" s="23">
        <v>1.53</v>
      </c>
      <c r="F3" t="s">
        <v>27</v>
      </c>
      <c r="G3" s="32">
        <f>C3/A4</f>
        <v>29.475842624631554</v>
      </c>
      <c r="H3" t="s">
        <v>28</v>
      </c>
      <c r="I3" s="32">
        <f>D4+50</f>
        <v>52.25</v>
      </c>
      <c r="J3" t="s">
        <v>29</v>
      </c>
      <c r="L3" s="32">
        <f>I3+F4</f>
        <v>57.777500000000003</v>
      </c>
    </row>
    <row r="4" spans="1:13" ht="15" x14ac:dyDescent="0.25">
      <c r="A4" s="47">
        <f>E3*E3</f>
        <v>2.3409</v>
      </c>
      <c r="B4" s="47">
        <f>E3*100</f>
        <v>153</v>
      </c>
      <c r="C4" s="47">
        <f>B4-150</f>
        <v>3</v>
      </c>
      <c r="D4" s="47">
        <f>C4*0.75</f>
        <v>2.25</v>
      </c>
      <c r="E4" s="47">
        <f>C3-I3</f>
        <v>16.75</v>
      </c>
      <c r="F4" s="47">
        <f>E4*0.33</f>
        <v>5.5274999999999999</v>
      </c>
      <c r="G4" s="48"/>
      <c r="H4" s="5" t="s">
        <v>11</v>
      </c>
      <c r="L4" s="23">
        <v>52</v>
      </c>
    </row>
    <row r="5" spans="1:13" x14ac:dyDescent="0.3">
      <c r="A5" t="s">
        <v>30</v>
      </c>
      <c r="D5" s="21">
        <v>30</v>
      </c>
      <c r="F5" s="22">
        <f>D5*L4</f>
        <v>1560</v>
      </c>
      <c r="G5" s="5" t="s">
        <v>3</v>
      </c>
    </row>
    <row r="6" spans="1:13" x14ac:dyDescent="0.3">
      <c r="A6" t="s">
        <v>31</v>
      </c>
      <c r="D6" s="45">
        <v>1.4</v>
      </c>
      <c r="F6" s="32">
        <f>D6*L4</f>
        <v>72.8</v>
      </c>
      <c r="G6" s="5" t="s">
        <v>4</v>
      </c>
      <c r="I6" s="22">
        <f>F6/6.25</f>
        <v>11.648</v>
      </c>
      <c r="J6" s="5" t="s">
        <v>5</v>
      </c>
    </row>
    <row r="7" spans="1:13" x14ac:dyDescent="0.3">
      <c r="A7" s="17" t="s">
        <v>6</v>
      </c>
      <c r="B7" s="48"/>
      <c r="C7" s="47">
        <f>F6*4</f>
        <v>291.2</v>
      </c>
      <c r="D7" s="70" t="s">
        <v>7</v>
      </c>
      <c r="E7" s="17"/>
      <c r="F7" s="71">
        <f>B8*1.1</f>
        <v>0</v>
      </c>
      <c r="G7" s="17" t="s">
        <v>10</v>
      </c>
      <c r="H7" s="49">
        <f>300*E9</f>
        <v>0</v>
      </c>
      <c r="I7" s="17" t="s">
        <v>12</v>
      </c>
      <c r="J7" s="48"/>
      <c r="K7" s="47">
        <f>F5-C7</f>
        <v>1268.8</v>
      </c>
      <c r="L7" s="48"/>
    </row>
    <row r="8" spans="1:13" x14ac:dyDescent="0.3">
      <c r="A8" t="s">
        <v>32</v>
      </c>
      <c r="B8" s="23">
        <v>0</v>
      </c>
      <c r="C8" t="s">
        <v>69</v>
      </c>
      <c r="E8" s="17" t="s">
        <v>14</v>
      </c>
      <c r="F8" s="48"/>
      <c r="G8" s="47">
        <f>F7+H7</f>
        <v>0</v>
      </c>
      <c r="H8" s="17" t="s">
        <v>13</v>
      </c>
      <c r="I8" s="48"/>
      <c r="J8" s="48"/>
      <c r="K8" s="47">
        <f>K7-G8</f>
        <v>1268.8</v>
      </c>
      <c r="L8" s="48"/>
    </row>
    <row r="9" spans="1:13" x14ac:dyDescent="0.3">
      <c r="A9" s="5" t="s">
        <v>33</v>
      </c>
      <c r="B9" s="21">
        <v>1</v>
      </c>
      <c r="C9" s="5" t="s">
        <v>8</v>
      </c>
      <c r="D9" s="17" t="s">
        <v>9</v>
      </c>
      <c r="E9" s="49">
        <f>B9-1</f>
        <v>0</v>
      </c>
      <c r="F9" s="48"/>
      <c r="G9" s="48"/>
      <c r="H9" s="5"/>
    </row>
    <row r="10" spans="1:13" x14ac:dyDescent="0.3">
      <c r="A10" t="s">
        <v>34</v>
      </c>
      <c r="C10" s="21">
        <v>55</v>
      </c>
      <c r="D10" s="5" t="s">
        <v>16</v>
      </c>
      <c r="E10" s="22">
        <f>100-C10</f>
        <v>45</v>
      </c>
      <c r="F10" s="55" t="s">
        <v>82</v>
      </c>
      <c r="G10" s="5"/>
      <c r="I10" s="22">
        <f>K7/I6</f>
        <v>108.92857142857143</v>
      </c>
    </row>
    <row r="11" spans="1:13" ht="15" x14ac:dyDescent="0.25">
      <c r="D11" s="5"/>
    </row>
    <row r="12" spans="1:13" x14ac:dyDescent="0.3">
      <c r="A12" s="30" t="s">
        <v>35</v>
      </c>
      <c r="F12" s="44">
        <f>I6</f>
        <v>11.648</v>
      </c>
      <c r="G12" s="30" t="s">
        <v>15</v>
      </c>
      <c r="H12" s="44">
        <f>E14/4</f>
        <v>174.46</v>
      </c>
      <c r="I12" s="30" t="s">
        <v>17</v>
      </c>
      <c r="J12" s="44">
        <f>H14/9</f>
        <v>63.439999999999991</v>
      </c>
      <c r="K12" s="30" t="s">
        <v>19</v>
      </c>
    </row>
    <row r="13" spans="1:13" x14ac:dyDescent="0.3">
      <c r="A13" s="17" t="s">
        <v>20</v>
      </c>
      <c r="C13" s="47">
        <f>K7*B14</f>
        <v>697.84</v>
      </c>
      <c r="D13" s="17" t="s">
        <v>22</v>
      </c>
      <c r="G13" s="47">
        <f>K7-C13</f>
        <v>570.95999999999992</v>
      </c>
      <c r="H13" s="17" t="s">
        <v>77</v>
      </c>
      <c r="I13" s="17"/>
      <c r="J13" s="17">
        <f>H12*4</f>
        <v>697.84</v>
      </c>
      <c r="K13" s="17" t="s">
        <v>78</v>
      </c>
      <c r="L13" s="17"/>
      <c r="M13" s="17">
        <f>J12*9</f>
        <v>570.95999999999992</v>
      </c>
    </row>
    <row r="14" spans="1:13" x14ac:dyDescent="0.3">
      <c r="A14" s="17" t="s">
        <v>21</v>
      </c>
      <c r="B14" s="56">
        <f>C10/100</f>
        <v>0.55000000000000004</v>
      </c>
      <c r="C14" s="17" t="s">
        <v>23</v>
      </c>
      <c r="E14" s="47">
        <f>C13-H7</f>
        <v>697.84</v>
      </c>
      <c r="F14" s="17" t="s">
        <v>24</v>
      </c>
      <c r="H14" s="47">
        <f>G13-F7</f>
        <v>570.95999999999992</v>
      </c>
      <c r="J14" s="44">
        <f>C7+J13+M13</f>
        <v>1560</v>
      </c>
      <c r="K14" s="30" t="s">
        <v>81</v>
      </c>
      <c r="M14" s="5" t="s">
        <v>84</v>
      </c>
    </row>
    <row r="15" spans="1:13" ht="15" x14ac:dyDescent="0.25">
      <c r="J15" s="17">
        <f>J13+M13</f>
        <v>1268.8</v>
      </c>
      <c r="K15" s="17" t="s">
        <v>79</v>
      </c>
      <c r="L15" s="17"/>
    </row>
    <row r="16" spans="1:13" ht="15" x14ac:dyDescent="0.25">
      <c r="J16" s="44">
        <f>J15/I6</f>
        <v>108.92857142857143</v>
      </c>
      <c r="K16" s="30" t="s">
        <v>83</v>
      </c>
    </row>
  </sheetData>
  <sheetProtection password="D257" sheet="1" objects="1" scenarios="1"/>
  <customSheetViews>
    <customSheetView guid="{48944D96-E1C6-470F-BC09-CAA8ED824015}">
      <selection activeCell="J15" sqref="J15"/>
      <pageMargins left="0.7" right="0.7" top="0.75" bottom="0.75" header="0.3" footer="0.3"/>
      <pageSetup paperSize="9" orientation="portrait" r:id="rId1"/>
    </customSheetView>
  </customSheetView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8"/>
  <sheetViews>
    <sheetView workbookViewId="0">
      <selection activeCell="B11" sqref="B11"/>
    </sheetView>
  </sheetViews>
  <sheetFormatPr baseColWidth="10" defaultRowHeight="14.4" x14ac:dyDescent="0.3"/>
  <sheetData>
    <row r="1" spans="1:22" x14ac:dyDescent="0.3">
      <c r="A1" s="128" t="s">
        <v>103</v>
      </c>
      <c r="B1" s="118"/>
      <c r="C1" s="118"/>
      <c r="D1" s="118"/>
      <c r="E1" s="4" t="s">
        <v>185</v>
      </c>
      <c r="F1" s="4"/>
      <c r="G1" s="4"/>
    </row>
    <row r="2" spans="1:22" ht="15" x14ac:dyDescent="0.25">
      <c r="A2" s="115" t="s">
        <v>186</v>
      </c>
      <c r="B2" s="115"/>
      <c r="C2" s="115"/>
      <c r="D2" s="115"/>
      <c r="E2" s="115"/>
    </row>
    <row r="3" spans="1:22" x14ac:dyDescent="0.3">
      <c r="A3" s="86" t="s">
        <v>104</v>
      </c>
      <c r="B3" s="90"/>
      <c r="C3" s="90"/>
      <c r="D3" s="90"/>
      <c r="E3" s="90"/>
      <c r="F3" s="90"/>
      <c r="G3" s="90"/>
      <c r="H3" s="90"/>
      <c r="I3" s="90"/>
      <c r="J3" s="129" t="s">
        <v>129</v>
      </c>
      <c r="K3" s="122"/>
      <c r="L3" s="93"/>
      <c r="M3" s="93"/>
      <c r="N3" s="93"/>
      <c r="O3" s="93"/>
      <c r="P3" s="93"/>
      <c r="Q3" s="93"/>
      <c r="R3" s="93"/>
      <c r="S3" s="123" t="s">
        <v>142</v>
      </c>
      <c r="T3" s="123"/>
      <c r="U3" s="94"/>
      <c r="V3" s="94"/>
    </row>
    <row r="4" spans="1:22" x14ac:dyDescent="0.3">
      <c r="A4" s="125" t="s">
        <v>113</v>
      </c>
      <c r="B4" s="125"/>
      <c r="C4" s="90"/>
      <c r="D4" s="90"/>
      <c r="E4" s="90"/>
      <c r="F4" s="90"/>
      <c r="G4" s="90"/>
      <c r="H4" s="90"/>
      <c r="I4" s="90"/>
      <c r="J4" s="93" t="s">
        <v>146</v>
      </c>
      <c r="K4" s="93"/>
      <c r="L4" s="93"/>
      <c r="M4" s="93"/>
      <c r="N4" s="93"/>
      <c r="O4" s="93"/>
      <c r="P4" s="93"/>
      <c r="Q4" s="93"/>
      <c r="R4" s="93"/>
      <c r="S4" s="94"/>
      <c r="T4" s="94"/>
      <c r="U4" s="94"/>
      <c r="V4" s="94"/>
    </row>
    <row r="5" spans="1:22" x14ac:dyDescent="0.3">
      <c r="A5" s="90"/>
      <c r="B5" s="91" t="s">
        <v>116</v>
      </c>
      <c r="C5" s="90"/>
      <c r="D5" s="90"/>
      <c r="E5" s="90"/>
      <c r="F5" s="90"/>
      <c r="G5" s="90"/>
      <c r="H5" s="90"/>
      <c r="I5" s="90"/>
      <c r="J5" s="93"/>
      <c r="K5" s="93"/>
      <c r="L5" s="122" t="s">
        <v>131</v>
      </c>
      <c r="M5" s="122"/>
      <c r="N5" s="122"/>
      <c r="O5" s="122"/>
      <c r="P5" s="122"/>
      <c r="Q5" s="122"/>
      <c r="R5" s="122"/>
      <c r="S5" s="124" t="s">
        <v>143</v>
      </c>
      <c r="T5" s="124"/>
      <c r="U5" s="124"/>
      <c r="V5" s="124"/>
    </row>
    <row r="6" spans="1:22" x14ac:dyDescent="0.3">
      <c r="A6" s="90"/>
      <c r="B6" s="90"/>
      <c r="C6" s="90" t="s">
        <v>105</v>
      </c>
      <c r="D6" s="92" t="s">
        <v>106</v>
      </c>
      <c r="E6" s="90"/>
      <c r="F6" s="90"/>
      <c r="G6" s="90"/>
      <c r="H6" s="90"/>
      <c r="I6" s="90"/>
      <c r="J6" s="93"/>
      <c r="K6" s="93"/>
      <c r="L6" s="93"/>
      <c r="M6" s="93"/>
      <c r="N6" s="93"/>
      <c r="O6" s="93"/>
      <c r="P6" s="93"/>
      <c r="Q6" s="93"/>
      <c r="R6" s="93"/>
      <c r="S6" s="94"/>
      <c r="T6" s="94"/>
      <c r="U6" s="94"/>
      <c r="V6" s="94"/>
    </row>
    <row r="7" spans="1:22" x14ac:dyDescent="0.3">
      <c r="A7" s="90"/>
      <c r="B7" s="90"/>
      <c r="C7" s="90"/>
      <c r="D7" s="103" t="s">
        <v>156</v>
      </c>
      <c r="E7" s="103"/>
      <c r="F7" s="103"/>
      <c r="G7" s="103"/>
      <c r="H7" s="103"/>
      <c r="I7" s="90"/>
      <c r="J7" s="93" t="s">
        <v>147</v>
      </c>
      <c r="K7" s="93"/>
      <c r="L7" s="93"/>
      <c r="M7" s="93"/>
      <c r="N7" s="93"/>
      <c r="O7" s="93"/>
      <c r="P7" s="93"/>
      <c r="Q7" s="93"/>
      <c r="R7" s="93"/>
      <c r="S7" s="124" t="s">
        <v>171</v>
      </c>
      <c r="T7" s="124"/>
      <c r="U7" s="124"/>
      <c r="V7" s="124"/>
    </row>
    <row r="8" spans="1:22" x14ac:dyDescent="0.3">
      <c r="A8" s="90"/>
      <c r="B8" s="90"/>
      <c r="C8" s="90"/>
      <c r="D8" s="92"/>
      <c r="E8" s="92"/>
      <c r="F8" s="92"/>
      <c r="G8" s="92"/>
      <c r="H8" s="92"/>
      <c r="I8" s="90"/>
      <c r="J8" s="93"/>
      <c r="K8" s="93"/>
      <c r="L8" s="122" t="s">
        <v>132</v>
      </c>
      <c r="M8" s="122"/>
      <c r="N8" s="122"/>
      <c r="O8" s="122"/>
      <c r="P8" s="122"/>
      <c r="Q8" s="122"/>
      <c r="R8" s="122"/>
      <c r="S8" s="100"/>
      <c r="T8" s="100"/>
      <c r="U8" s="100"/>
      <c r="V8" s="100"/>
    </row>
    <row r="9" spans="1:22" ht="15" x14ac:dyDescent="0.25">
      <c r="A9" s="90"/>
      <c r="B9" s="90"/>
      <c r="C9" s="90" t="s">
        <v>107</v>
      </c>
      <c r="D9" s="92" t="s">
        <v>108</v>
      </c>
      <c r="E9" s="90"/>
      <c r="F9" s="90"/>
      <c r="G9" s="90"/>
      <c r="H9" s="90"/>
      <c r="I9" s="90"/>
      <c r="J9" s="93"/>
      <c r="K9" s="93"/>
      <c r="L9" s="93"/>
      <c r="M9" s="93"/>
      <c r="N9" s="93"/>
      <c r="O9" s="93"/>
      <c r="P9" s="93"/>
      <c r="Q9" s="93"/>
      <c r="R9" s="93"/>
      <c r="S9" s="100" t="s">
        <v>144</v>
      </c>
      <c r="T9" s="100"/>
      <c r="U9" s="100"/>
      <c r="V9" s="100"/>
    </row>
    <row r="10" spans="1:22" x14ac:dyDescent="0.3">
      <c r="A10" s="90"/>
      <c r="B10" s="90"/>
      <c r="C10" s="90"/>
      <c r="D10" s="92" t="s">
        <v>109</v>
      </c>
      <c r="E10" s="90"/>
      <c r="F10" s="90"/>
      <c r="G10" s="90"/>
      <c r="H10" s="90"/>
      <c r="I10" s="90"/>
      <c r="J10" s="93" t="s">
        <v>148</v>
      </c>
      <c r="K10" s="93"/>
      <c r="L10" s="93"/>
      <c r="M10" s="93"/>
      <c r="N10" s="93"/>
      <c r="O10" s="93"/>
      <c r="P10" s="93"/>
      <c r="Q10" s="93"/>
      <c r="R10" s="93"/>
      <c r="S10" s="94"/>
      <c r="T10" s="94"/>
      <c r="U10" s="94"/>
      <c r="V10" s="94"/>
    </row>
    <row r="11" spans="1:22" ht="15" x14ac:dyDescent="0.25">
      <c r="A11" s="90"/>
      <c r="B11" s="90"/>
      <c r="C11" s="90"/>
      <c r="D11" s="90"/>
      <c r="E11" s="90"/>
      <c r="F11" s="90"/>
      <c r="G11" s="90"/>
      <c r="H11" s="90"/>
      <c r="I11" s="90"/>
      <c r="J11" s="93"/>
      <c r="K11" s="93"/>
      <c r="L11" s="122" t="s">
        <v>160</v>
      </c>
      <c r="M11" s="122"/>
      <c r="N11" s="122"/>
      <c r="O11" s="122"/>
      <c r="P11" s="122"/>
      <c r="Q11" s="122"/>
      <c r="R11" s="122"/>
      <c r="S11" s="124" t="s">
        <v>145</v>
      </c>
      <c r="T11" s="124"/>
      <c r="U11" s="124"/>
      <c r="V11" s="124"/>
    </row>
    <row r="12" spans="1:22" x14ac:dyDescent="0.3">
      <c r="A12" s="125" t="s">
        <v>114</v>
      </c>
      <c r="B12" s="125"/>
      <c r="C12" s="90"/>
      <c r="D12" s="90"/>
      <c r="E12" s="90"/>
      <c r="F12" s="90"/>
      <c r="G12" s="90"/>
      <c r="H12" s="90"/>
      <c r="I12" s="90"/>
      <c r="J12" s="93"/>
      <c r="K12" s="93"/>
      <c r="L12" s="93" t="s">
        <v>161</v>
      </c>
      <c r="M12" s="93"/>
      <c r="N12" s="93"/>
      <c r="O12" s="93"/>
      <c r="P12" s="93"/>
      <c r="Q12" s="93"/>
      <c r="R12" s="93"/>
    </row>
    <row r="13" spans="1:22" x14ac:dyDescent="0.3">
      <c r="A13" s="90"/>
      <c r="B13" s="125" t="s">
        <v>117</v>
      </c>
      <c r="C13" s="125"/>
      <c r="D13" s="92" t="s">
        <v>182</v>
      </c>
      <c r="E13" s="92"/>
      <c r="F13" s="92"/>
      <c r="G13" s="92"/>
      <c r="H13" s="90"/>
      <c r="I13" s="90"/>
      <c r="J13" s="93"/>
      <c r="K13" s="93"/>
      <c r="L13" s="93"/>
      <c r="M13" s="93"/>
      <c r="N13" s="93"/>
      <c r="O13" s="93"/>
      <c r="P13" s="93"/>
      <c r="Q13" s="93"/>
      <c r="R13" s="93"/>
    </row>
    <row r="14" spans="1:22" ht="15" x14ac:dyDescent="0.25">
      <c r="A14" s="90"/>
      <c r="B14" s="90"/>
      <c r="C14" s="90"/>
      <c r="D14" s="126" t="s">
        <v>157</v>
      </c>
      <c r="E14" s="125"/>
      <c r="F14" s="125"/>
      <c r="G14" s="125"/>
      <c r="H14" s="125"/>
      <c r="I14" s="90"/>
      <c r="J14" s="93"/>
      <c r="K14" s="93"/>
      <c r="L14" s="93"/>
      <c r="M14" s="93"/>
      <c r="N14" s="93"/>
      <c r="O14" s="93"/>
      <c r="P14" s="93"/>
      <c r="Q14" s="93"/>
      <c r="R14" s="93"/>
    </row>
    <row r="15" spans="1:22" x14ac:dyDescent="0.3">
      <c r="A15" s="90"/>
      <c r="B15" s="90"/>
      <c r="C15" s="90"/>
      <c r="D15" s="96" t="s">
        <v>183</v>
      </c>
      <c r="E15" s="95"/>
      <c r="F15" s="95"/>
      <c r="G15" s="95"/>
      <c r="H15" s="95"/>
      <c r="I15" s="90"/>
      <c r="J15" s="93"/>
      <c r="K15" s="93"/>
      <c r="L15" s="93"/>
      <c r="M15" s="93"/>
      <c r="N15" s="93"/>
      <c r="O15" s="93"/>
      <c r="P15" s="93"/>
      <c r="Q15" s="93"/>
      <c r="R15" s="93"/>
    </row>
    <row r="16" spans="1:22" x14ac:dyDescent="0.3">
      <c r="A16" s="90"/>
      <c r="B16" s="90"/>
      <c r="C16" s="90"/>
      <c r="D16" s="126" t="s">
        <v>110</v>
      </c>
      <c r="E16" s="125"/>
      <c r="F16" s="125"/>
      <c r="G16" s="125"/>
      <c r="H16" s="125"/>
      <c r="I16" s="90"/>
      <c r="J16" s="93" t="s">
        <v>162</v>
      </c>
      <c r="K16" s="93"/>
      <c r="L16" s="93"/>
      <c r="M16" s="93"/>
      <c r="N16" s="93"/>
      <c r="O16" s="93"/>
      <c r="P16" s="93"/>
      <c r="Q16" s="93"/>
      <c r="R16" s="93"/>
    </row>
    <row r="17" spans="1:18" x14ac:dyDescent="0.3">
      <c r="A17" s="90"/>
      <c r="B17" s="90"/>
      <c r="C17" s="90"/>
      <c r="D17" s="92" t="s">
        <v>184</v>
      </c>
      <c r="E17" s="92"/>
      <c r="F17" s="92"/>
      <c r="G17" s="92"/>
      <c r="H17" s="92"/>
      <c r="I17" s="92"/>
      <c r="J17" s="93"/>
      <c r="K17" s="93"/>
      <c r="L17" s="93" t="s">
        <v>164</v>
      </c>
      <c r="M17" s="93"/>
      <c r="N17" s="93"/>
      <c r="O17" s="93"/>
      <c r="P17" s="93"/>
      <c r="Q17" s="93"/>
      <c r="R17" s="93"/>
    </row>
    <row r="18" spans="1:18" ht="15" x14ac:dyDescent="0.25">
      <c r="A18" s="90"/>
      <c r="B18" s="90"/>
      <c r="C18" s="90"/>
      <c r="D18" s="90"/>
      <c r="E18" s="90"/>
      <c r="F18" s="90"/>
      <c r="G18" s="90"/>
      <c r="H18" s="90"/>
      <c r="I18" s="90"/>
      <c r="J18" s="93" t="s">
        <v>163</v>
      </c>
      <c r="K18" s="93"/>
      <c r="L18" s="93"/>
      <c r="M18" s="93"/>
      <c r="N18" s="93"/>
      <c r="O18" s="93"/>
      <c r="P18" s="93"/>
      <c r="Q18" s="93"/>
      <c r="R18" s="93"/>
    </row>
    <row r="19" spans="1:18" x14ac:dyDescent="0.3">
      <c r="A19" s="130" t="s">
        <v>111</v>
      </c>
      <c r="B19" s="125"/>
      <c r="C19" s="90"/>
      <c r="D19" s="90"/>
      <c r="E19" s="90"/>
      <c r="F19" s="90"/>
      <c r="G19" s="90"/>
      <c r="H19" s="90"/>
      <c r="I19" s="90"/>
      <c r="J19" s="127" t="s">
        <v>151</v>
      </c>
      <c r="K19" s="127"/>
      <c r="L19" s="93"/>
      <c r="M19" s="93"/>
      <c r="N19" s="93"/>
      <c r="O19" s="93"/>
      <c r="P19" s="93"/>
      <c r="Q19" s="93"/>
      <c r="R19" s="93"/>
    </row>
    <row r="20" spans="1:18" x14ac:dyDescent="0.3">
      <c r="A20" s="125" t="s">
        <v>115</v>
      </c>
      <c r="B20" s="125"/>
      <c r="C20" s="90"/>
      <c r="D20" s="92"/>
      <c r="E20" s="92"/>
      <c r="F20" s="92"/>
      <c r="G20" s="92"/>
      <c r="H20" s="92"/>
      <c r="I20" s="92"/>
      <c r="J20" s="99"/>
      <c r="K20" s="99"/>
      <c r="L20" s="122" t="s">
        <v>133</v>
      </c>
      <c r="M20" s="122"/>
      <c r="N20" s="122"/>
      <c r="O20" s="122"/>
      <c r="P20" s="122"/>
      <c r="Q20" s="122"/>
      <c r="R20" s="122"/>
    </row>
    <row r="21" spans="1:18" x14ac:dyDescent="0.3">
      <c r="A21" s="90"/>
      <c r="B21" s="125" t="s">
        <v>118</v>
      </c>
      <c r="C21" s="125"/>
      <c r="D21" s="125"/>
      <c r="E21" s="90"/>
      <c r="F21" s="90"/>
      <c r="G21" s="90"/>
      <c r="H21" s="90"/>
      <c r="I21" s="90"/>
      <c r="J21" s="93"/>
      <c r="K21" s="99" t="s">
        <v>165</v>
      </c>
      <c r="L21" s="93"/>
      <c r="M21" s="93"/>
      <c r="N21" s="93"/>
      <c r="O21" s="93"/>
      <c r="P21" s="93"/>
      <c r="Q21" s="93"/>
      <c r="R21" s="93"/>
    </row>
    <row r="22" spans="1:18" x14ac:dyDescent="0.3">
      <c r="A22" s="90"/>
      <c r="B22" s="90"/>
      <c r="C22" s="90"/>
      <c r="D22" s="126" t="s">
        <v>112</v>
      </c>
      <c r="E22" s="125"/>
      <c r="F22" s="90"/>
      <c r="G22" s="90"/>
      <c r="H22" s="90"/>
      <c r="I22" s="90"/>
      <c r="J22" s="93"/>
      <c r="K22" s="93"/>
      <c r="L22" s="97" t="s">
        <v>134</v>
      </c>
      <c r="M22" s="97"/>
      <c r="N22" s="97"/>
      <c r="O22" s="97"/>
      <c r="P22" s="97"/>
      <c r="Q22" s="97"/>
      <c r="R22" s="97"/>
    </row>
    <row r="23" spans="1:18" x14ac:dyDescent="0.3">
      <c r="A23" s="90"/>
      <c r="B23" s="90"/>
      <c r="C23" s="90"/>
      <c r="D23" s="90"/>
      <c r="E23" s="90"/>
      <c r="F23" s="90"/>
      <c r="G23" s="90"/>
      <c r="H23" s="90"/>
      <c r="I23" s="90"/>
      <c r="J23" s="93"/>
      <c r="K23" s="99" t="s">
        <v>166</v>
      </c>
      <c r="L23" s="97"/>
      <c r="M23" s="97"/>
      <c r="N23" s="97"/>
      <c r="O23" s="97"/>
      <c r="P23" s="97"/>
      <c r="Q23" s="97"/>
      <c r="R23" s="97"/>
    </row>
    <row r="24" spans="1:18" x14ac:dyDescent="0.3">
      <c r="A24" s="98" t="s">
        <v>119</v>
      </c>
      <c r="B24" s="98"/>
      <c r="C24" s="90"/>
      <c r="D24" s="90"/>
      <c r="E24" s="90"/>
      <c r="F24" s="90"/>
      <c r="G24" s="90"/>
      <c r="H24" s="90"/>
      <c r="I24" s="90"/>
      <c r="J24" s="93"/>
      <c r="K24" s="93"/>
      <c r="L24" s="97" t="s">
        <v>167</v>
      </c>
      <c r="M24" s="97"/>
      <c r="N24" s="97"/>
      <c r="O24" s="97"/>
      <c r="P24" s="97"/>
      <c r="Q24" s="97"/>
      <c r="R24" s="97"/>
    </row>
    <row r="25" spans="1:18" x14ac:dyDescent="0.3">
      <c r="A25" s="95" t="s">
        <v>126</v>
      </c>
      <c r="B25" s="95"/>
      <c r="C25" s="95"/>
      <c r="D25" s="90"/>
      <c r="E25" s="90"/>
      <c r="F25" s="90"/>
      <c r="G25" s="90"/>
      <c r="H25" s="90"/>
      <c r="I25" s="90"/>
      <c r="J25" s="93"/>
      <c r="K25" s="93"/>
      <c r="L25" s="93"/>
      <c r="M25" s="93"/>
      <c r="N25" s="93"/>
      <c r="O25" s="93"/>
      <c r="P25" s="93"/>
      <c r="Q25" s="93"/>
      <c r="R25" s="93"/>
    </row>
    <row r="26" spans="1:18" x14ac:dyDescent="0.3">
      <c r="A26" s="90"/>
      <c r="B26" s="90"/>
      <c r="C26" s="90"/>
      <c r="D26" s="98" t="s">
        <v>120</v>
      </c>
      <c r="E26" s="98"/>
      <c r="F26" s="98"/>
      <c r="G26" s="98"/>
      <c r="H26" s="96"/>
      <c r="I26" s="96"/>
      <c r="J26" s="93" t="s">
        <v>149</v>
      </c>
      <c r="K26" s="93"/>
      <c r="L26" s="93"/>
      <c r="M26" s="93"/>
      <c r="N26" s="93"/>
      <c r="O26" s="93"/>
      <c r="P26" s="93"/>
      <c r="Q26" s="93"/>
      <c r="R26" s="93"/>
    </row>
    <row r="27" spans="1:18" x14ac:dyDescent="0.3">
      <c r="A27" s="90"/>
      <c r="B27" s="90"/>
      <c r="C27" s="90"/>
      <c r="D27" s="98" t="s">
        <v>121</v>
      </c>
      <c r="E27" s="98"/>
      <c r="F27" s="98"/>
      <c r="G27" s="98"/>
      <c r="H27" s="96"/>
      <c r="I27" s="90"/>
      <c r="J27" s="93"/>
      <c r="K27" s="99" t="s">
        <v>150</v>
      </c>
      <c r="L27" s="93"/>
      <c r="M27" s="93"/>
      <c r="N27" s="93"/>
      <c r="O27" s="93"/>
      <c r="P27" s="93"/>
      <c r="Q27" s="93"/>
      <c r="R27" s="93"/>
    </row>
    <row r="28" spans="1:18" x14ac:dyDescent="0.3">
      <c r="A28" s="90"/>
      <c r="B28" s="90"/>
      <c r="C28" s="90"/>
      <c r="D28" s="90"/>
      <c r="E28" s="90"/>
      <c r="F28" s="90"/>
      <c r="G28" s="90"/>
      <c r="H28" s="90"/>
      <c r="I28" s="90"/>
      <c r="J28" s="93"/>
      <c r="K28" s="93"/>
      <c r="L28" s="97" t="s">
        <v>168</v>
      </c>
      <c r="M28" s="97"/>
      <c r="N28" s="97"/>
      <c r="O28" s="97"/>
      <c r="P28" s="97"/>
      <c r="Q28" s="97"/>
      <c r="R28" s="97"/>
    </row>
    <row r="29" spans="1:18" x14ac:dyDescent="0.3">
      <c r="A29" s="95" t="s">
        <v>127</v>
      </c>
      <c r="B29" s="95"/>
      <c r="C29" s="95"/>
      <c r="D29" s="95"/>
      <c r="E29" s="90"/>
      <c r="F29" s="90"/>
      <c r="G29" s="90"/>
      <c r="H29" s="90"/>
      <c r="I29" s="90"/>
      <c r="J29" s="93"/>
      <c r="K29" s="93"/>
      <c r="L29" s="97" t="s">
        <v>135</v>
      </c>
      <c r="M29" s="97"/>
      <c r="N29" s="97"/>
      <c r="O29" s="97"/>
      <c r="P29" s="97"/>
      <c r="Q29" s="97"/>
      <c r="R29" s="97"/>
    </row>
    <row r="30" spans="1:18" x14ac:dyDescent="0.3">
      <c r="A30" s="90"/>
      <c r="B30" s="90"/>
      <c r="C30" s="90"/>
      <c r="D30" s="96" t="s">
        <v>158</v>
      </c>
      <c r="E30" s="96"/>
      <c r="F30" s="96"/>
      <c r="G30" s="96"/>
      <c r="H30" s="96"/>
      <c r="I30" s="96"/>
      <c r="J30" s="93"/>
      <c r="K30" s="93"/>
      <c r="L30" s="97" t="s">
        <v>169</v>
      </c>
      <c r="M30" s="97"/>
      <c r="N30" s="97"/>
      <c r="O30" s="97"/>
      <c r="P30" s="97"/>
      <c r="Q30" s="97"/>
      <c r="R30" s="97"/>
    </row>
    <row r="31" spans="1:18" x14ac:dyDescent="0.3">
      <c r="A31" s="90"/>
      <c r="B31" s="90"/>
      <c r="C31" s="90"/>
      <c r="D31" s="102" t="s">
        <v>159</v>
      </c>
      <c r="E31" s="102"/>
      <c r="F31" s="102"/>
      <c r="G31" s="102"/>
      <c r="H31" s="102"/>
      <c r="I31" s="96"/>
      <c r="J31" s="93"/>
      <c r="K31" s="93"/>
      <c r="L31" s="93"/>
      <c r="M31" s="93"/>
      <c r="N31" s="93"/>
      <c r="O31" s="93"/>
      <c r="P31" s="93"/>
      <c r="Q31" s="93"/>
      <c r="R31" s="93"/>
    </row>
    <row r="32" spans="1:18" x14ac:dyDescent="0.3">
      <c r="A32" s="90"/>
      <c r="B32" s="90"/>
      <c r="C32" s="90"/>
      <c r="D32" s="96" t="s">
        <v>122</v>
      </c>
      <c r="E32" s="96"/>
      <c r="F32" s="96"/>
      <c r="G32" s="96"/>
      <c r="H32" s="96"/>
      <c r="I32" s="90"/>
      <c r="J32" s="101"/>
      <c r="K32" s="99" t="s">
        <v>152</v>
      </c>
      <c r="L32" s="93"/>
      <c r="M32" s="93"/>
      <c r="N32" s="93"/>
      <c r="O32" s="93"/>
      <c r="P32" s="93"/>
      <c r="Q32" s="93"/>
      <c r="R32" s="93"/>
    </row>
    <row r="33" spans="1:18" x14ac:dyDescent="0.3">
      <c r="A33" s="90"/>
      <c r="B33" s="90"/>
      <c r="C33" s="90"/>
      <c r="D33" s="126" t="s">
        <v>123</v>
      </c>
      <c r="E33" s="126"/>
      <c r="F33" s="126"/>
      <c r="G33" s="126"/>
      <c r="H33" s="126"/>
      <c r="I33" s="126"/>
      <c r="J33" s="93"/>
      <c r="K33" s="93"/>
      <c r="L33" s="97" t="s">
        <v>136</v>
      </c>
      <c r="M33" s="97"/>
      <c r="N33" s="97"/>
      <c r="O33" s="97"/>
      <c r="P33" s="97"/>
      <c r="Q33" s="97"/>
      <c r="R33" s="97"/>
    </row>
    <row r="34" spans="1:18" x14ac:dyDescent="0.3">
      <c r="A34" s="90"/>
      <c r="B34" s="90"/>
      <c r="C34" s="90"/>
      <c r="D34" s="90"/>
      <c r="E34" s="90"/>
      <c r="F34" s="90"/>
      <c r="G34" s="90"/>
      <c r="H34" s="90"/>
      <c r="I34" s="90"/>
      <c r="J34" s="93"/>
      <c r="K34" s="93"/>
      <c r="L34" s="97" t="s">
        <v>137</v>
      </c>
      <c r="M34" s="97"/>
      <c r="N34" s="97"/>
      <c r="O34" s="97"/>
      <c r="P34" s="97"/>
      <c r="Q34" s="97"/>
      <c r="R34" s="97"/>
    </row>
    <row r="35" spans="1:18" x14ac:dyDescent="0.3">
      <c r="A35" s="125" t="s">
        <v>130</v>
      </c>
      <c r="B35" s="125"/>
      <c r="C35" s="125"/>
      <c r="D35" s="125"/>
      <c r="E35" s="90"/>
      <c r="F35" s="90"/>
      <c r="G35" s="90"/>
      <c r="H35" s="90"/>
      <c r="I35" s="90"/>
      <c r="J35" s="93"/>
      <c r="K35" s="93"/>
      <c r="L35" s="97" t="s">
        <v>134</v>
      </c>
      <c r="M35" s="97"/>
      <c r="N35" s="97"/>
      <c r="O35" s="97"/>
      <c r="P35" s="97"/>
      <c r="Q35" s="97"/>
      <c r="R35" s="97"/>
    </row>
    <row r="36" spans="1:18" x14ac:dyDescent="0.3">
      <c r="A36" s="90"/>
      <c r="B36" s="90"/>
      <c r="C36" s="90"/>
      <c r="D36" s="126" t="s">
        <v>124</v>
      </c>
      <c r="E36" s="126"/>
      <c r="F36" s="126"/>
      <c r="G36" s="126"/>
      <c r="H36" s="126"/>
      <c r="I36" s="126"/>
      <c r="J36" s="93"/>
      <c r="K36" s="93"/>
      <c r="L36" s="122" t="s">
        <v>138</v>
      </c>
      <c r="M36" s="122"/>
      <c r="N36" s="122"/>
      <c r="O36" s="122"/>
      <c r="P36" s="122"/>
      <c r="Q36" s="122"/>
      <c r="R36" s="122"/>
    </row>
    <row r="37" spans="1:18" x14ac:dyDescent="0.3">
      <c r="A37" s="90"/>
      <c r="B37" s="90"/>
      <c r="C37" s="90"/>
      <c r="D37" s="90"/>
      <c r="E37" s="90"/>
      <c r="F37" s="90"/>
      <c r="G37" s="90"/>
      <c r="H37" s="90"/>
      <c r="I37" s="90"/>
      <c r="J37" s="93"/>
      <c r="K37" s="93"/>
      <c r="L37" s="93"/>
      <c r="M37" s="93"/>
      <c r="N37" s="93"/>
      <c r="O37" s="93"/>
      <c r="P37" s="93"/>
      <c r="Q37" s="93"/>
      <c r="R37" s="93"/>
    </row>
    <row r="38" spans="1:18" x14ac:dyDescent="0.3">
      <c r="A38" s="125" t="s">
        <v>128</v>
      </c>
      <c r="B38" s="125"/>
      <c r="C38" s="125"/>
      <c r="D38" s="90"/>
      <c r="E38" s="90"/>
      <c r="F38" s="90"/>
      <c r="G38" s="90"/>
      <c r="H38" s="90"/>
      <c r="I38" s="90"/>
      <c r="J38" s="93" t="s">
        <v>153</v>
      </c>
      <c r="K38" s="93"/>
      <c r="L38" s="93"/>
      <c r="M38" s="93"/>
      <c r="N38" s="93"/>
      <c r="O38" s="93"/>
      <c r="P38" s="93"/>
      <c r="Q38" s="93"/>
      <c r="R38" s="93"/>
    </row>
    <row r="39" spans="1:18" x14ac:dyDescent="0.3">
      <c r="A39" s="90"/>
      <c r="B39" s="90"/>
      <c r="C39" s="90"/>
      <c r="D39" s="126" t="s">
        <v>125</v>
      </c>
      <c r="E39" s="126"/>
      <c r="F39" s="126"/>
      <c r="G39" s="126"/>
      <c r="H39" s="126"/>
      <c r="I39" s="126"/>
      <c r="J39" s="93"/>
      <c r="K39" s="93"/>
      <c r="L39" s="97" t="s">
        <v>139</v>
      </c>
      <c r="M39" s="97"/>
      <c r="N39" s="97"/>
      <c r="O39" s="97"/>
      <c r="P39" s="97"/>
      <c r="Q39" s="97"/>
      <c r="R39" s="97"/>
    </row>
    <row r="40" spans="1:18" x14ac:dyDescent="0.3">
      <c r="J40" s="93"/>
      <c r="K40" s="93"/>
      <c r="L40" s="93"/>
      <c r="M40" s="93"/>
      <c r="N40" s="93"/>
      <c r="O40" s="93"/>
      <c r="P40" s="93"/>
      <c r="Q40" s="93"/>
      <c r="R40" s="93"/>
    </row>
    <row r="41" spans="1:18" x14ac:dyDescent="0.3">
      <c r="J41" s="93" t="s">
        <v>154</v>
      </c>
      <c r="K41" s="93"/>
      <c r="L41" s="93"/>
      <c r="M41" s="93"/>
      <c r="N41" s="93"/>
      <c r="O41" s="93"/>
      <c r="P41" s="93"/>
      <c r="Q41" s="93"/>
      <c r="R41" s="93"/>
    </row>
    <row r="42" spans="1:18" x14ac:dyDescent="0.3">
      <c r="J42" s="93"/>
      <c r="K42" s="93"/>
      <c r="L42" s="97" t="s">
        <v>140</v>
      </c>
      <c r="M42" s="97"/>
      <c r="N42" s="97"/>
      <c r="O42" s="97"/>
      <c r="P42" s="97"/>
      <c r="Q42" s="97"/>
      <c r="R42" s="97"/>
    </row>
    <row r="43" spans="1:18" x14ac:dyDescent="0.3">
      <c r="J43" s="93"/>
      <c r="K43" s="93"/>
      <c r="L43" s="97" t="s">
        <v>141</v>
      </c>
      <c r="M43" s="97"/>
      <c r="N43" s="97"/>
      <c r="O43" s="97"/>
      <c r="P43" s="97"/>
      <c r="Q43" s="97"/>
      <c r="R43" s="97"/>
    </row>
    <row r="44" spans="1:18" x14ac:dyDescent="0.3">
      <c r="J44" s="93"/>
      <c r="K44" s="93"/>
      <c r="L44" s="93"/>
      <c r="M44" s="93"/>
      <c r="N44" s="93"/>
      <c r="O44" s="93"/>
      <c r="P44" s="93"/>
      <c r="Q44" s="93"/>
      <c r="R44" s="93"/>
    </row>
    <row r="45" spans="1:18" x14ac:dyDescent="0.3">
      <c r="J45" s="93"/>
      <c r="K45" s="99" t="s">
        <v>155</v>
      </c>
      <c r="L45" s="93"/>
      <c r="M45" s="93"/>
      <c r="N45" s="93"/>
      <c r="O45" s="93"/>
      <c r="P45" s="93"/>
      <c r="Q45" s="93"/>
      <c r="R45" s="93"/>
    </row>
    <row r="46" spans="1:18" x14ac:dyDescent="0.3">
      <c r="J46" s="93"/>
      <c r="K46" s="93"/>
      <c r="L46" s="97" t="s">
        <v>138</v>
      </c>
      <c r="M46" s="97"/>
      <c r="N46" s="97"/>
      <c r="O46" s="97"/>
      <c r="P46" s="97"/>
      <c r="Q46" s="97"/>
      <c r="R46" s="97"/>
    </row>
    <row r="47" spans="1:18" x14ac:dyDescent="0.3">
      <c r="J47" s="93"/>
      <c r="K47" s="93"/>
      <c r="L47" s="122" t="s">
        <v>170</v>
      </c>
      <c r="M47" s="122"/>
      <c r="N47" s="122"/>
      <c r="O47" s="122"/>
      <c r="P47" s="122"/>
      <c r="Q47" s="122"/>
      <c r="R47" s="122"/>
    </row>
    <row r="48" spans="1:18" x14ac:dyDescent="0.3">
      <c r="J48" s="93"/>
      <c r="K48" s="93"/>
      <c r="L48" s="122" t="s">
        <v>134</v>
      </c>
      <c r="M48" s="122"/>
      <c r="N48" s="122"/>
      <c r="O48" s="122"/>
      <c r="P48" s="122"/>
      <c r="Q48" s="122"/>
      <c r="R48" s="122"/>
    </row>
  </sheetData>
  <sheetProtection algorithmName="SHA-512" hashValue="FAyLYSZKvTRKn2Quxe0v+p21LnUB4hyt7MRZuyOudxtPAmgguryeEYHywyoWFvzSphXwlqv061VAdF28w018Bw==" saltValue="+worg75PctoFoYO3tWAmIA==" spinCount="100000" sheet="1" objects="1" scenarios="1"/>
  <customSheetViews>
    <customSheetView guid="{48944D96-E1C6-470F-BC09-CAA8ED824015}">
      <selection activeCell="B11" sqref="B11"/>
      <pageMargins left="0.7" right="0.7" top="0.75" bottom="0.75" header="0.3" footer="0.3"/>
      <pageSetup paperSize="9" orientation="portrait" horizontalDpi="0" verticalDpi="0" r:id="rId1"/>
    </customSheetView>
  </customSheetViews>
  <mergeCells count="28">
    <mergeCell ref="A1:D1"/>
    <mergeCell ref="A4:B4"/>
    <mergeCell ref="D14:H14"/>
    <mergeCell ref="D22:E22"/>
    <mergeCell ref="J3:K3"/>
    <mergeCell ref="D16:H16"/>
    <mergeCell ref="B13:C13"/>
    <mergeCell ref="A12:B12"/>
    <mergeCell ref="A19:B19"/>
    <mergeCell ref="A20:B20"/>
    <mergeCell ref="A35:D35"/>
    <mergeCell ref="D36:I36"/>
    <mergeCell ref="D39:I39"/>
    <mergeCell ref="A38:C38"/>
    <mergeCell ref="J19:K19"/>
    <mergeCell ref="D33:I33"/>
    <mergeCell ref="B21:D21"/>
    <mergeCell ref="L48:R48"/>
    <mergeCell ref="S3:T3"/>
    <mergeCell ref="S5:V5"/>
    <mergeCell ref="S7:V7"/>
    <mergeCell ref="S11:V11"/>
    <mergeCell ref="L36:R36"/>
    <mergeCell ref="L5:R5"/>
    <mergeCell ref="L8:R8"/>
    <mergeCell ref="L11:R11"/>
    <mergeCell ref="L20:R20"/>
    <mergeCell ref="L47:R47"/>
  </mergeCell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PAUTA DE TOLERANCIA</vt:lpstr>
      <vt:lpstr>RITMO N. ENTERAL </vt:lpstr>
      <vt:lpstr>FÓRMULA N. ENTERAL</vt:lpstr>
      <vt:lpstr>FORMULACIÓN NPT</vt:lpstr>
      <vt:lpstr>ANEXO-DIETAS ENTERALES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josefa francisca murcia payá</dc:creator>
  <cp:lastModifiedBy>lhp53r</cp:lastModifiedBy>
  <cp:lastPrinted>2023-01-16T09:39:05Z</cp:lastPrinted>
  <dcterms:created xsi:type="dcterms:W3CDTF">2015-06-05T18:17:20Z</dcterms:created>
  <dcterms:modified xsi:type="dcterms:W3CDTF">2026-01-23T10:44:39Z</dcterms:modified>
</cp:coreProperties>
</file>